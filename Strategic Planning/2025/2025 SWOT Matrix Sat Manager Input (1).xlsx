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Group\Satellite\Denver\2025 Strategic Planning\"/>
    </mc:Choice>
  </mc:AlternateContent>
  <xr:revisionPtr revIDLastSave="0" documentId="13_ncr:1_{2AA5A2B6-7635-4861-AFCE-15E480866286}" xr6:coauthVersionLast="36" xr6:coauthVersionMax="36" xr10:uidLastSave="{00000000-0000-0000-0000-000000000000}"/>
  <bookViews>
    <workbookView xWindow="720" yWindow="420" windowWidth="19770" windowHeight="7125" activeTab="1" xr2:uid="{00000000-000D-0000-FFFF-FFFF00000000}"/>
  </bookViews>
  <sheets>
    <sheet name="SWOT Inputs" sheetId="3" r:id="rId1"/>
    <sheet name="SWOT Matrix" sheetId="4" r:id="rId2"/>
    <sheet name="Example SWOT Inputs" sheetId="9" r:id="rId3"/>
    <sheet name="Example SWOT Matrix" sheetId="8" r:id="rId4"/>
    <sheet name="Severity Definitions" sheetId="2" state="hidden" r:id="rId5"/>
  </sheets>
  <calcPr calcId="191029"/>
</workbook>
</file>

<file path=xl/calcChain.xml><?xml version="1.0" encoding="utf-8"?>
<calcChain xmlns="http://schemas.openxmlformats.org/spreadsheetml/2006/main">
  <c r="B17" i="4" l="1"/>
  <c r="B18" i="4"/>
  <c r="B19" i="4"/>
  <c r="B20" i="4"/>
  <c r="B16" i="4"/>
  <c r="B11" i="4"/>
  <c r="B12" i="4"/>
  <c r="B13" i="4"/>
  <c r="B14" i="4"/>
  <c r="B10" i="4"/>
  <c r="F5" i="4"/>
  <c r="F6" i="4"/>
  <c r="F7" i="4"/>
  <c r="F8" i="4"/>
  <c r="F4" i="4"/>
  <c r="D5" i="4"/>
  <c r="D6" i="4"/>
  <c r="D7" i="4"/>
  <c r="D8" i="4"/>
  <c r="D4" i="4"/>
  <c r="B19" i="8"/>
  <c r="B20" i="8"/>
  <c r="B18" i="8"/>
  <c r="B12" i="8"/>
  <c r="B13" i="8"/>
  <c r="B11" i="8"/>
  <c r="F5" i="8"/>
  <c r="F6" i="8"/>
  <c r="F4" i="8"/>
  <c r="D5" i="8"/>
  <c r="D6" i="8"/>
  <c r="D7" i="8"/>
  <c r="D4" i="8"/>
</calcChain>
</file>

<file path=xl/sharedStrings.xml><?xml version="1.0" encoding="utf-8"?>
<sst xmlns="http://schemas.openxmlformats.org/spreadsheetml/2006/main" count="333" uniqueCount="175">
  <si>
    <t>Likelihood</t>
  </si>
  <si>
    <t>Injury or Illness</t>
  </si>
  <si>
    <t>Aircraft, Facilty or Terrorism Event</t>
  </si>
  <si>
    <t>Operationsl Compliance, Performance</t>
  </si>
  <si>
    <t>Damage to the Environment</t>
  </si>
  <si>
    <t>Total loss of aircraft or facility</t>
  </si>
  <si>
    <t>Potential threat to Operating Certificate</t>
  </si>
  <si>
    <t>Massive environmental effect</t>
  </si>
  <si>
    <t>NTSB accident or substantial loss of affected property</t>
  </si>
  <si>
    <t>Critical environmental effect</t>
  </si>
  <si>
    <t>NTSB incident or accident, partial loss of a facility or a credible security threat</t>
  </si>
  <si>
    <t>Contained effect to the environment</t>
  </si>
  <si>
    <t>NTSB incident or minor property damage</t>
  </si>
  <si>
    <t>Minor environmental effect</t>
  </si>
  <si>
    <t>First aid treatment</t>
  </si>
  <si>
    <t>Negligible incident or damage with extremely limited effect on safety</t>
  </si>
  <si>
    <t>Negligible environmental effect</t>
  </si>
  <si>
    <t>Damage, fines or loss of revenue &lt;$1000</t>
  </si>
  <si>
    <t>Damage, fines or loss of revenue &gt;$50,000</t>
  </si>
  <si>
    <t>Damage, fines or loss of revenue &gt;$10,000 - $50,000</t>
  </si>
  <si>
    <t>Damage, fines or loss of revenue &gt;$5,000  - $10,000</t>
  </si>
  <si>
    <t>Damage, fines or loss of revenue &gt;$1000 - $4,999</t>
  </si>
  <si>
    <t>Financial Impact</t>
  </si>
  <si>
    <t>Minor company equipment damage</t>
  </si>
  <si>
    <t>Minor customer equipment damage</t>
  </si>
  <si>
    <t>Significant company equipment damage</t>
  </si>
  <si>
    <t>Significant customer equipment damage</t>
  </si>
  <si>
    <t>Credible compromise to safety of flight</t>
  </si>
  <si>
    <t>B. Major</t>
  </si>
  <si>
    <t>A. Catastrophic</t>
  </si>
  <si>
    <t>C. Moderate</t>
  </si>
  <si>
    <t>D. Minor</t>
  </si>
  <si>
    <t>E. Insignificant</t>
  </si>
  <si>
    <t>Regulatory/ Company policy and/or procedure deviation with a critical impact on safety</t>
  </si>
  <si>
    <t>Regulatory/ Company policy and/or procedure deviation with major reduction in safety margin</t>
  </si>
  <si>
    <t>Regulatory/ Company policy and/or procedure deviation with minor safety implication</t>
  </si>
  <si>
    <t>Regulatory/ Company policy and/or procedure deviation with limited safety implication</t>
  </si>
  <si>
    <t>Aircraft / Equipment Damage</t>
  </si>
  <si>
    <t>Fatality</t>
  </si>
  <si>
    <t>In-patient hospitalization, amputation, loss of eye</t>
  </si>
  <si>
    <t>Medical treatment beyond first aid, OSHA reportable incident</t>
  </si>
  <si>
    <t xml:space="preserve">No medical treatment </t>
  </si>
  <si>
    <t>INTERNAL FACTOR ANALYSIS SUMMARY (IFAS)</t>
  </si>
  <si>
    <t>Internal Factors</t>
  </si>
  <si>
    <t>Rating</t>
  </si>
  <si>
    <t>Utilization</t>
  </si>
  <si>
    <t>Comments</t>
  </si>
  <si>
    <t>Strengths</t>
  </si>
  <si>
    <t>Weaknesses</t>
  </si>
  <si>
    <t xml:space="preserve">EXTERNAL FACTOR ANALYSIS SUMMARY (EFAS) </t>
  </si>
  <si>
    <t>External Factors</t>
  </si>
  <si>
    <t>Opportunities</t>
  </si>
  <si>
    <t>Threats</t>
  </si>
  <si>
    <t>Very Likely</t>
  </si>
  <si>
    <t>Likely</t>
  </si>
  <si>
    <t>Possible</t>
  </si>
  <si>
    <t>1.</t>
  </si>
  <si>
    <t>2.</t>
  </si>
  <si>
    <t>3.</t>
  </si>
  <si>
    <t>4.</t>
  </si>
  <si>
    <t>5.</t>
  </si>
  <si>
    <t>SO Strategies</t>
  </si>
  <si>
    <t>WO Strategies</t>
  </si>
  <si>
    <t xml:space="preserve">Opportunities </t>
  </si>
  <si>
    <t>ST Strategies</t>
  </si>
  <si>
    <t>WT Strategies</t>
  </si>
  <si>
    <t>Moderate</t>
  </si>
  <si>
    <t>Strategies that use strengths to maximize opportunities.</t>
  </si>
  <si>
    <t>Strategies that minimize weaknesses by taking advantage of opportunities.</t>
  </si>
  <si>
    <t>Strategies that use strengths to minimize threats.</t>
  </si>
  <si>
    <t>Strategies that minimize weaknesses and avoid threats.</t>
  </si>
  <si>
    <t>Weakness</t>
  </si>
  <si>
    <t>Always/Almost Always</t>
  </si>
  <si>
    <t>Significant Strength</t>
  </si>
  <si>
    <t>(Example) SWOT Matrix</t>
  </si>
  <si>
    <t xml:space="preserve">** EXAMPLE** EXTERNAL FACTOR ANALYSIS SUMMARY (EFAS) </t>
  </si>
  <si>
    <t>** EXAMPLE** INTERNAL FACTOR ANALYSIS SUMMARY (IFAS)</t>
  </si>
  <si>
    <t>Minor</t>
  </si>
  <si>
    <t>Often</t>
  </si>
  <si>
    <t>Leadership</t>
  </si>
  <si>
    <t>Strength</t>
  </si>
  <si>
    <t>Impact</t>
  </si>
  <si>
    <t>Training</t>
  </si>
  <si>
    <t>Customer Service</t>
  </si>
  <si>
    <t>Oil price volatility</t>
  </si>
  <si>
    <t>Employee turnover</t>
  </si>
  <si>
    <t xml:space="preserve"> Knowing the requirement on bio-bor with falcons, we will look into options for a safe way to deliver the product. (S1, O1)</t>
  </si>
  <si>
    <t>With the increased rate of turnover over the last 12 months, it has brought awarness that our training is insufficient.   We are going to restructure training program. (W1, T3)</t>
  </si>
  <si>
    <t>We can increase our customer service by getting customer feedback and creating a loyalty program. (W3, O2, O3)</t>
  </si>
  <si>
    <t>Safety</t>
  </si>
  <si>
    <t>Teamwork</t>
  </si>
  <si>
    <t>Invoicing Issues</t>
  </si>
  <si>
    <t>Interdepartmental communication</t>
  </si>
  <si>
    <t>Good communication between line and front desk.  Good peer relations</t>
  </si>
  <si>
    <t xml:space="preserve">We collaborate well with other departments.  Started to attend paint morning meeting and attend airframe morning meeting. </t>
  </si>
  <si>
    <t xml:space="preserve">Added weekend leadership.  Leadership team is very postive which is translating into the team. </t>
  </si>
  <si>
    <t xml:space="preserve">Significant Weakness </t>
  </si>
  <si>
    <t xml:space="preserve">Very little structure.  Not enough one on one time with trainer. </t>
  </si>
  <si>
    <t>Inexperienced staff creates several invoicing errors</t>
  </si>
  <si>
    <t xml:space="preserve">Too much focus on hangar movement.  Need to incorporate more customer service training on initial hire. </t>
  </si>
  <si>
    <t>Bio-Bor injectors on trucks</t>
  </si>
  <si>
    <t>Loyalty card/program</t>
  </si>
  <si>
    <t>Customer feedback</t>
  </si>
  <si>
    <t>Production shop performance</t>
  </si>
  <si>
    <t xml:space="preserve">Oil market is unstable and changing all the time.   </t>
  </si>
  <si>
    <t>When production shops are slow it directly affects our shops ability to produce revenue.</t>
  </si>
  <si>
    <t xml:space="preserve">A high turnover rate can lead to increased expenses due to training, overtime, quality escapes, and incident increases. </t>
  </si>
  <si>
    <t xml:space="preserve">Possibility to produce revenue by putting injectors on the trucks.  Will be needed for all Falcon A-C checks. </t>
  </si>
  <si>
    <t xml:space="preserve">Repeat customers that show loyatly to Duncan will be rewarded. </t>
  </si>
  <si>
    <t xml:space="preserve">create a new customer feedback form to incorporate customer dislikes and likes.  </t>
  </si>
  <si>
    <t xml:space="preserve"> Grow strong leaders to create a culutre where turnover is decreased  (S4, T3)</t>
  </si>
  <si>
    <t>Zero incident in last 12 months</t>
  </si>
  <si>
    <t>Sometimes</t>
  </si>
  <si>
    <t>Satellite SWOT Matrix</t>
  </si>
  <si>
    <t>Mandates, obsolescence and targeted STC opportunities.</t>
  </si>
  <si>
    <t>FDR, CVR, safety systems.</t>
  </si>
  <si>
    <t>Mobile competition and the changing market.</t>
  </si>
  <si>
    <t>Major</t>
  </si>
  <si>
    <t>Geography</t>
  </si>
  <si>
    <t xml:space="preserve">Knowledge Base  </t>
  </si>
  <si>
    <t>Support/Recources</t>
  </si>
  <si>
    <t>Lack of Experience</t>
  </si>
  <si>
    <t>Aging Workforce</t>
  </si>
  <si>
    <t>Occasionally</t>
  </si>
  <si>
    <t>Customer Interactions</t>
  </si>
  <si>
    <t>Develop specific sales Strategies</t>
  </si>
  <si>
    <t>Airframe support/maintenance partners</t>
  </si>
  <si>
    <t>Lease Agreements</t>
  </si>
  <si>
    <t>Vendor Support</t>
  </si>
  <si>
    <t>Political Enviroment</t>
  </si>
  <si>
    <t>Evaluate the geographical market area for competitive pay scale</t>
  </si>
  <si>
    <t>Leverage vendor relationships to improve support deficiencies</t>
  </si>
  <si>
    <t>Provide a realistic and obtainable response time</t>
  </si>
  <si>
    <t>Obtain vendor or career focused training opportunities</t>
  </si>
  <si>
    <t>Ensure Availability for schedule/quality/competitive pricing</t>
  </si>
  <si>
    <t>Centrally located, near to several major cities.</t>
  </si>
  <si>
    <t>Slightly on the strenght side, few new employees that lack of experience.</t>
  </si>
  <si>
    <t>Few new techs</t>
  </si>
  <si>
    <t xml:space="preserve">Few older techs </t>
  </si>
  <si>
    <t>Good reputation and support from the local RM</t>
  </si>
  <si>
    <t>Good connectivity opportunities in the near future</t>
  </si>
  <si>
    <t>Addition of Mark Winter to the sales team</t>
  </si>
  <si>
    <t>Some interest in the Mexican market. We are AFAC.</t>
  </si>
  <si>
    <t>Unlikely</t>
  </si>
  <si>
    <t>Partnered with Straight flight already.</t>
  </si>
  <si>
    <t>Good relationship with our new landlord</t>
  </si>
  <si>
    <t>Good relationship with most mayor manufacturers</t>
  </si>
  <si>
    <t>New government changes</t>
  </si>
  <si>
    <t>Not many mobile trucks in the area</t>
  </si>
  <si>
    <t>Competition</t>
  </si>
  <si>
    <t>Westart ramping up operations at APA</t>
  </si>
  <si>
    <t>It's a strenght but still need to polish it</t>
  </si>
  <si>
    <t>Visit customers while the Regional Manager is in town.</t>
  </si>
  <si>
    <t>Lots of resources from the main FBO's and the SAT network</t>
  </si>
  <si>
    <t>Focus on creating intentional, personalized experiences to instill confidence and care for customers, peers, and partners.</t>
  </si>
  <si>
    <t>Advertise and market for Mexican aircraft and input into the Mexican authorized repair stations like APA</t>
  </si>
  <si>
    <t>Utilize the existing  employee training programs focused on customer empathy and personalization to enhance service quality.</t>
  </si>
  <si>
    <t>With the help of Mark Winter and Marketing, Launch targeted marketing campaigns emphasizing the company’s ability to provide personalized, high-quality services.</t>
  </si>
  <si>
    <t>Customers installing Garmin CJ Suites at lower prices.</t>
  </si>
  <si>
    <t>Customers complain of our higher quotes.</t>
  </si>
  <si>
    <t>In regards the CJ project, monitor competitor trends and incorporate insights into innovation strategies to maintain a competitive edge.</t>
  </si>
  <si>
    <t>Use quality as a differentiator to build customer trust.</t>
  </si>
  <si>
    <t>Strengthen alliances with key suppliers, distributors, and partners to stabilize supply chains and ensure cost efficiencies.</t>
  </si>
  <si>
    <t>Offer mentorship programs pairing less experienced employees with senior staff to transfer knowledge and enhance technical capabilities.</t>
  </si>
  <si>
    <t>Enhance employer branding to attract talent passionate about customer-focused innovation</t>
  </si>
  <si>
    <t>Encourage knowledge sharing across departments to improve creativity and align company-wide efforts with growth opportunities.</t>
  </si>
  <si>
    <t>Address internal silos or inefficiencies by creating cross-functional teams to work on more efficient projects</t>
  </si>
  <si>
    <t>Introduce succession planning and leadership development initiatives to maintain continuity.</t>
  </si>
  <si>
    <t>Regularly assess team capabilities and implement training programs to prepare for emerging new technologies like Starlink and Gallileo.</t>
  </si>
  <si>
    <t>Maintain open communication channels to address employee concerns.</t>
  </si>
  <si>
    <t>Culture of Inclusion and Retention</t>
  </si>
  <si>
    <t>Strong emphasis on a family-oriented work environment that fosters personal connection, growth, and well-being.</t>
  </si>
  <si>
    <t>Commitment to Quality</t>
  </si>
  <si>
    <t>Downtime Management</t>
  </si>
  <si>
    <t>While performance improvement is a priority, current processes may still present inefficiencies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</si>
</sst>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021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6" fillId="2" borderId="1" xfId="0" applyFont="1" applyFill="1" applyBorder="1"/>
    <xf numFmtId="0" fontId="0" fillId="4" borderId="0" xfId="0" applyFill="1"/>
    <xf numFmtId="0" fontId="4" fillId="0" borderId="1" xfId="0" applyFont="1" applyBorder="1"/>
    <xf numFmtId="0" fontId="8" fillId="2" borderId="1" xfId="0" applyFont="1" applyFill="1" applyBorder="1"/>
    <xf numFmtId="49" fontId="0" fillId="3" borderId="9" xfId="0" applyNumberFormat="1" applyFill="1" applyBorder="1" applyAlignment="1">
      <alignment horizontal="left" vertical="top"/>
    </xf>
    <xf numFmtId="49" fontId="0" fillId="3" borderId="7" xfId="0" applyNumberFormat="1" applyFill="1" applyBorder="1" applyAlignment="1">
      <alignment horizontal="left" vertical="top"/>
    </xf>
    <xf numFmtId="49" fontId="0" fillId="4" borderId="9" xfId="0" applyNumberFormat="1" applyFill="1" applyBorder="1" applyAlignment="1">
      <alignment horizontal="left" vertical="top"/>
    </xf>
    <xf numFmtId="49" fontId="0" fillId="4" borderId="7" xfId="0" applyNumberFormat="1" applyFill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1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5" fillId="0" borderId="1" xfId="0" applyFont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0" fillId="4" borderId="10" xfId="0" applyNumberFormat="1" applyFill="1" applyBorder="1" applyAlignment="1">
      <alignment wrapText="1"/>
    </xf>
    <xf numFmtId="0" fontId="0" fillId="4" borderId="8" xfId="0" applyNumberFormat="1" applyFill="1" applyBorder="1" applyAlignment="1">
      <alignment wrapText="1"/>
    </xf>
    <xf numFmtId="0" fontId="5" fillId="0" borderId="0" xfId="0" applyNumberFormat="1" applyFont="1" applyBorder="1" applyAlignment="1" applyProtection="1">
      <alignment horizontal="left" vertical="top" wrapText="1"/>
      <protection locked="0"/>
    </xf>
    <xf numFmtId="0" fontId="5" fillId="4" borderId="0" xfId="0" applyNumberFormat="1" applyFont="1" applyFill="1" applyBorder="1" applyAlignment="1" applyProtection="1">
      <alignment horizontal="left" vertical="top" wrapText="1"/>
    </xf>
    <xf numFmtId="0" fontId="10" fillId="4" borderId="0" xfId="0" applyFont="1" applyFill="1"/>
    <xf numFmtId="0" fontId="10" fillId="4" borderId="10" xfId="0" applyFont="1" applyFill="1" applyBorder="1"/>
    <xf numFmtId="0" fontId="10" fillId="4" borderId="8" xfId="0" applyFont="1" applyFill="1" applyBorder="1"/>
    <xf numFmtId="0" fontId="0" fillId="3" borderId="6" xfId="0" applyFont="1" applyFill="1" applyBorder="1" applyAlignment="1" applyProtection="1">
      <alignment vertical="top" wrapText="1"/>
      <protection locked="0"/>
    </xf>
    <xf numFmtId="0" fontId="0" fillId="3" borderId="10" xfId="0" applyFont="1" applyFill="1" applyBorder="1" applyAlignment="1" applyProtection="1">
      <alignment vertical="top" wrapText="1"/>
      <protection locked="0"/>
    </xf>
    <xf numFmtId="0" fontId="0" fillId="3" borderId="8" xfId="0" applyFont="1" applyFill="1" applyBorder="1" applyAlignment="1" applyProtection="1">
      <alignment vertical="top" wrapText="1"/>
      <protection locked="0"/>
    </xf>
    <xf numFmtId="0" fontId="0" fillId="4" borderId="0" xfId="0" applyFill="1" applyProtection="1"/>
    <xf numFmtId="0" fontId="0" fillId="0" borderId="0" xfId="0" applyProtection="1"/>
    <xf numFmtId="0" fontId="1" fillId="0" borderId="1" xfId="0" applyFont="1" applyBorder="1" applyProtection="1"/>
    <xf numFmtId="0" fontId="1" fillId="2" borderId="1" xfId="0" applyFont="1" applyFill="1" applyBorder="1" applyProtection="1"/>
    <xf numFmtId="0" fontId="6" fillId="2" borderId="1" xfId="0" applyFont="1" applyFill="1" applyBorder="1" applyProtection="1"/>
    <xf numFmtId="0" fontId="0" fillId="0" borderId="1" xfId="0" applyFont="1" applyBorder="1" applyAlignment="1" applyProtection="1">
      <alignment vertical="top" wrapText="1"/>
    </xf>
    <xf numFmtId="0" fontId="0" fillId="0" borderId="1" xfId="0" applyBorder="1" applyAlignment="1" applyProtection="1">
      <alignment vertical="top"/>
    </xf>
    <xf numFmtId="0" fontId="0" fillId="0" borderId="1" xfId="0" applyBorder="1" applyAlignment="1" applyProtection="1">
      <alignment wrapText="1"/>
    </xf>
    <xf numFmtId="0" fontId="5" fillId="0" borderId="1" xfId="0" applyFont="1" applyBorder="1" applyAlignment="1" applyProtection="1">
      <alignment vertical="top" wrapText="1"/>
    </xf>
    <xf numFmtId="0" fontId="0" fillId="0" borderId="1" xfId="0" applyBorder="1" applyAlignment="1" applyProtection="1">
      <alignment vertical="top" wrapText="1"/>
    </xf>
    <xf numFmtId="0" fontId="1" fillId="0" borderId="1" xfId="0" applyFont="1" applyBorder="1" applyAlignment="1" applyProtection="1">
      <alignment vertical="top" wrapText="1"/>
    </xf>
    <xf numFmtId="0" fontId="1" fillId="0" borderId="1" xfId="0" applyFont="1" applyBorder="1" applyAlignment="1" applyProtection="1">
      <alignment vertical="top"/>
    </xf>
    <xf numFmtId="0" fontId="1" fillId="2" borderId="1" xfId="0" applyFont="1" applyFill="1" applyBorder="1" applyAlignment="1" applyProtection="1">
      <alignment vertical="top" wrapText="1"/>
    </xf>
    <xf numFmtId="0" fontId="6" fillId="2" borderId="1" xfId="0" applyFont="1" applyFill="1" applyBorder="1" applyAlignment="1" applyProtection="1">
      <alignment vertical="top"/>
    </xf>
    <xf numFmtId="0" fontId="1" fillId="2" borderId="1" xfId="0" applyFont="1" applyFill="1" applyBorder="1" applyAlignment="1" applyProtection="1">
      <alignment vertical="top"/>
    </xf>
    <xf numFmtId="0" fontId="6" fillId="2" borderId="1" xfId="0" applyFont="1" applyFill="1" applyBorder="1" applyAlignment="1" applyProtection="1">
      <alignment vertical="top" wrapText="1"/>
    </xf>
    <xf numFmtId="0" fontId="4" fillId="0" borderId="1" xfId="0" applyFont="1" applyBorder="1" applyProtection="1"/>
    <xf numFmtId="0" fontId="8" fillId="2" borderId="1" xfId="0" applyFont="1" applyFill="1" applyBorder="1" applyProtection="1"/>
    <xf numFmtId="0" fontId="5" fillId="0" borderId="1" xfId="0" applyFont="1" applyBorder="1" applyAlignment="1" applyProtection="1">
      <alignment vertical="top"/>
    </xf>
    <xf numFmtId="0" fontId="8" fillId="2" borderId="1" xfId="0" applyFont="1" applyFill="1" applyBorder="1" applyAlignment="1" applyProtection="1">
      <alignment vertical="top"/>
    </xf>
    <xf numFmtId="0" fontId="0" fillId="4" borderId="5" xfId="0" applyFill="1" applyBorder="1" applyProtection="1"/>
    <xf numFmtId="0" fontId="0" fillId="4" borderId="6" xfId="0" applyFont="1" applyFill="1" applyBorder="1" applyAlignment="1" applyProtection="1">
      <alignment horizontal="center" vertical="center" wrapText="1"/>
    </xf>
    <xf numFmtId="0" fontId="0" fillId="4" borderId="5" xfId="0" applyFont="1" applyFill="1" applyBorder="1" applyAlignment="1" applyProtection="1">
      <alignment vertical="top" wrapText="1"/>
    </xf>
    <xf numFmtId="0" fontId="0" fillId="4" borderId="6" xfId="0" applyFont="1" applyFill="1" applyBorder="1" applyAlignment="1" applyProtection="1">
      <alignment horizontal="center" vertical="top" wrapText="1"/>
    </xf>
    <xf numFmtId="49" fontId="0" fillId="4" borderId="9" xfId="0" applyNumberFormat="1" applyFill="1" applyBorder="1" applyAlignment="1" applyProtection="1">
      <alignment horizontal="left" vertical="top"/>
    </xf>
    <xf numFmtId="0" fontId="0" fillId="4" borderId="10" xfId="0" applyNumberFormat="1" applyFill="1" applyBorder="1" applyAlignment="1" applyProtection="1">
      <alignment horizontal="left" wrapText="1"/>
    </xf>
    <xf numFmtId="0" fontId="0" fillId="4" borderId="10" xfId="0" applyNumberFormat="1" applyFill="1" applyBorder="1" applyAlignment="1" applyProtection="1">
      <alignment wrapText="1"/>
    </xf>
    <xf numFmtId="49" fontId="0" fillId="4" borderId="7" xfId="0" applyNumberFormat="1" applyFill="1" applyBorder="1" applyAlignment="1" applyProtection="1">
      <alignment horizontal="left" vertical="top"/>
    </xf>
    <xf numFmtId="0" fontId="0" fillId="4" borderId="9" xfId="0" applyNumberFormat="1" applyFill="1" applyBorder="1" applyAlignment="1" applyProtection="1">
      <alignment horizontal="left" vertical="top"/>
    </xf>
    <xf numFmtId="49" fontId="0" fillId="3" borderId="5" xfId="0" applyNumberFormat="1" applyFill="1" applyBorder="1" applyAlignment="1" applyProtection="1">
      <alignment horizontal="left" vertical="top"/>
    </xf>
    <xf numFmtId="49" fontId="0" fillId="3" borderId="6" xfId="0" applyNumberFormat="1" applyFont="1" applyFill="1" applyBorder="1" applyAlignment="1" applyProtection="1">
      <alignment vertical="top" wrapText="1"/>
    </xf>
    <xf numFmtId="49" fontId="0" fillId="3" borderId="9" xfId="0" applyNumberFormat="1" applyFill="1" applyBorder="1" applyAlignment="1" applyProtection="1">
      <alignment horizontal="left" vertical="top"/>
    </xf>
    <xf numFmtId="49" fontId="0" fillId="3" borderId="10" xfId="0" applyNumberFormat="1" applyFont="1" applyFill="1" applyBorder="1" applyAlignment="1" applyProtection="1">
      <alignment vertical="top" wrapText="1"/>
    </xf>
    <xf numFmtId="0" fontId="0" fillId="4" borderId="7" xfId="0" applyNumberFormat="1" applyFill="1" applyBorder="1" applyAlignment="1" applyProtection="1">
      <alignment horizontal="left" vertical="top"/>
    </xf>
    <xf numFmtId="49" fontId="0" fillId="3" borderId="7" xfId="0" applyNumberFormat="1" applyFill="1" applyBorder="1" applyAlignment="1" applyProtection="1">
      <alignment horizontal="left" vertical="top"/>
    </xf>
    <xf numFmtId="49" fontId="0" fillId="3" borderId="8" xfId="0" applyNumberFormat="1" applyFont="1" applyFill="1" applyBorder="1" applyAlignment="1" applyProtection="1">
      <alignment vertical="top" wrapText="1"/>
    </xf>
    <xf numFmtId="0" fontId="0" fillId="4" borderId="10" xfId="0" applyNumberFormat="1" applyFill="1" applyBorder="1" applyAlignment="1" applyProtection="1">
      <alignment horizontal="left" vertical="top" wrapText="1"/>
    </xf>
    <xf numFmtId="0" fontId="0" fillId="4" borderId="8" xfId="0" applyNumberFormat="1" applyFill="1" applyBorder="1" applyAlignment="1" applyProtection="1">
      <alignment horizontal="left" vertical="top" wrapText="1"/>
    </xf>
    <xf numFmtId="0" fontId="0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Fill="1"/>
    <xf numFmtId="0" fontId="5" fillId="0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Fill="1" applyBorder="1" applyAlignment="1" applyProtection="1">
      <alignment horizontal="left" vertical="top"/>
      <protection locked="0"/>
    </xf>
    <xf numFmtId="0" fontId="0" fillId="0" borderId="1" xfId="0" applyFill="1" applyBorder="1" applyAlignment="1" applyProtection="1">
      <alignment horizontal="left" vertical="top" wrapText="1"/>
      <protection locked="0"/>
    </xf>
    <xf numFmtId="0" fontId="0" fillId="0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Fill="1" applyBorder="1" applyAlignment="1" applyProtection="1">
      <alignment horizontal="left"/>
      <protection locked="0"/>
    </xf>
    <xf numFmtId="0" fontId="5" fillId="0" borderId="1" xfId="0" applyFont="1" applyFill="1" applyBorder="1" applyAlignment="1" applyProtection="1">
      <alignment horizontal="left"/>
      <protection locked="0"/>
    </xf>
    <xf numFmtId="0" fontId="0" fillId="0" borderId="1" xfId="0" applyFill="1" applyBorder="1" applyAlignment="1" applyProtection="1">
      <alignment horizontal="left" wrapText="1"/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 vertical="top" wrapText="1"/>
    </xf>
    <xf numFmtId="0" fontId="0" fillId="4" borderId="3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  <xf numFmtId="49" fontId="9" fillId="4" borderId="2" xfId="0" applyNumberFormat="1" applyFont="1" applyFill="1" applyBorder="1" applyAlignment="1" applyProtection="1">
      <alignment horizontal="center" vertical="top" wrapText="1"/>
    </xf>
    <xf numFmtId="49" fontId="9" fillId="4" borderId="3" xfId="0" applyNumberFormat="1" applyFont="1" applyFill="1" applyBorder="1" applyAlignment="1" applyProtection="1">
      <alignment horizontal="center" vertical="top" wrapText="1"/>
    </xf>
    <xf numFmtId="0" fontId="7" fillId="4" borderId="4" xfId="0" applyFont="1" applyFill="1" applyBorder="1" applyAlignment="1" applyProtection="1">
      <alignment horizontal="center"/>
    </xf>
    <xf numFmtId="0" fontId="0" fillId="4" borderId="11" xfId="0" applyFill="1" applyBorder="1" applyAlignment="1" applyProtection="1">
      <alignment horizontal="center"/>
    </xf>
    <xf numFmtId="0" fontId="0" fillId="4" borderId="12" xfId="0" applyFill="1" applyBorder="1" applyAlignment="1" applyProtection="1">
      <alignment horizontal="center"/>
    </xf>
    <xf numFmtId="0" fontId="0" fillId="4" borderId="13" xfId="0" applyFill="1" applyBorder="1" applyAlignment="1" applyProtection="1">
      <alignment horizontal="center"/>
    </xf>
    <xf numFmtId="0" fontId="0" fillId="4" borderId="14" xfId="0" applyFill="1" applyBorder="1" applyAlignment="1" applyProtection="1">
      <alignment horizontal="center"/>
    </xf>
    <xf numFmtId="0" fontId="0" fillId="4" borderId="15" xfId="0" applyFill="1" applyBorder="1" applyAlignment="1" applyProtection="1">
      <alignment horizontal="center"/>
    </xf>
    <xf numFmtId="0" fontId="0" fillId="4" borderId="16" xfId="0" applyFill="1" applyBorder="1" applyAlignment="1" applyProtection="1">
      <alignment horizontal="center"/>
    </xf>
    <xf numFmtId="49" fontId="0" fillId="4" borderId="2" xfId="0" applyNumberFormat="1" applyFont="1" applyFill="1" applyBorder="1" applyAlignment="1" applyProtection="1">
      <alignment horizontal="center" vertical="top" wrapText="1"/>
    </xf>
    <xf numFmtId="49" fontId="0" fillId="4" borderId="3" xfId="0" applyNumberFormat="1" applyFont="1" applyFill="1" applyBorder="1" applyAlignment="1" applyProtection="1">
      <alignment horizontal="center" vertical="top" wrapText="1"/>
    </xf>
    <xf numFmtId="49" fontId="0" fillId="4" borderId="2" xfId="0" applyNumberFormat="1" applyFill="1" applyBorder="1" applyAlignment="1" applyProtection="1">
      <alignment horizontal="center" vertical="top"/>
    </xf>
    <xf numFmtId="49" fontId="0" fillId="4" borderId="3" xfId="0" applyNumberFormat="1" applyFill="1" applyBorder="1" applyAlignment="1" applyProtection="1">
      <alignment horizontal="center" vertical="top"/>
    </xf>
    <xf numFmtId="0" fontId="0" fillId="4" borderId="5" xfId="0" applyFill="1" applyBorder="1" applyAlignment="1" applyProtection="1">
      <alignment horizontal="center" vertical="center"/>
    </xf>
    <xf numFmtId="0" fontId="0" fillId="4" borderId="6" xfId="0" applyFill="1" applyBorder="1" applyAlignment="1" applyProtection="1">
      <alignment horizontal="center" vertical="center"/>
    </xf>
    <xf numFmtId="0" fontId="0" fillId="4" borderId="9" xfId="0" applyFill="1" applyBorder="1" applyAlignment="1" applyProtection="1">
      <alignment horizontal="center" vertical="center"/>
    </xf>
    <xf numFmtId="0" fontId="0" fillId="4" borderId="10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2</xdr:row>
      <xdr:rowOff>9525</xdr:rowOff>
    </xdr:from>
    <xdr:to>
      <xdr:col>2</xdr:col>
      <xdr:colOff>9525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8A3D91-AA7C-4B36-A5B7-77D19273D19D}"/>
            </a:ext>
          </a:extLst>
        </xdr:cNvPr>
        <xdr:cNvSpPr txBox="1"/>
      </xdr:nvSpPr>
      <xdr:spPr>
        <a:xfrm>
          <a:off x="1790700" y="3590925"/>
          <a:ext cx="14382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Internal</a:t>
          </a:r>
          <a:r>
            <a:rPr lang="en-US" sz="1100" baseline="0"/>
            <a:t> Factors (IFAS)</a:t>
          </a:r>
          <a:endParaRPr lang="en-US" sz="1100"/>
        </a:p>
      </xdr:txBody>
    </xdr:sp>
    <xdr:clientData/>
  </xdr:twoCellAnchor>
  <xdr:twoCellAnchor>
    <xdr:from>
      <xdr:col>0</xdr:col>
      <xdr:colOff>581025</xdr:colOff>
      <xdr:row>6</xdr:row>
      <xdr:rowOff>114300</xdr:rowOff>
    </xdr:from>
    <xdr:to>
      <xdr:col>1</xdr:col>
      <xdr:colOff>1581150</xdr:colOff>
      <xdr:row>7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5AF6B7-42FE-4418-A0A5-C1709750854E}"/>
            </a:ext>
          </a:extLst>
        </xdr:cNvPr>
        <xdr:cNvSpPr txBox="1"/>
      </xdr:nvSpPr>
      <xdr:spPr>
        <a:xfrm>
          <a:off x="581025" y="4457700"/>
          <a:ext cx="16097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External </a:t>
          </a:r>
          <a:r>
            <a:rPr lang="en-US" sz="1100" baseline="0"/>
            <a:t>Factors (EFAS)</a:t>
          </a:r>
          <a:endParaRPr lang="en-US" sz="1100"/>
        </a:p>
      </xdr:txBody>
    </xdr:sp>
    <xdr:clientData/>
  </xdr:twoCellAnchor>
  <xdr:twoCellAnchor editAs="oneCell">
    <xdr:from>
      <xdr:col>3</xdr:col>
      <xdr:colOff>1272021</xdr:colOff>
      <xdr:row>20</xdr:row>
      <xdr:rowOff>100735</xdr:rowOff>
    </xdr:from>
    <xdr:to>
      <xdr:col>3</xdr:col>
      <xdr:colOff>3231554</xdr:colOff>
      <xdr:row>31</xdr:row>
      <xdr:rowOff>33755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908C59-926D-4226-AED3-600F01780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7135" y="4682837"/>
          <a:ext cx="1959533" cy="1996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2</xdr:row>
      <xdr:rowOff>9525</xdr:rowOff>
    </xdr:from>
    <xdr:to>
      <xdr:col>2</xdr:col>
      <xdr:colOff>9525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BE1999-7AAB-44C8-A467-6A91EBD6C2EB}"/>
            </a:ext>
          </a:extLst>
        </xdr:cNvPr>
        <xdr:cNvSpPr txBox="1"/>
      </xdr:nvSpPr>
      <xdr:spPr>
        <a:xfrm>
          <a:off x="1409700" y="561975"/>
          <a:ext cx="14382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Internal</a:t>
          </a:r>
          <a:r>
            <a:rPr lang="en-US" sz="1100" baseline="0"/>
            <a:t> Factors (IFAS)</a:t>
          </a:r>
          <a:endParaRPr lang="en-US" sz="1100"/>
        </a:p>
      </xdr:txBody>
    </xdr:sp>
    <xdr:clientData/>
  </xdr:twoCellAnchor>
  <xdr:twoCellAnchor>
    <xdr:from>
      <xdr:col>0</xdr:col>
      <xdr:colOff>581025</xdr:colOff>
      <xdr:row>6</xdr:row>
      <xdr:rowOff>114300</xdr:rowOff>
    </xdr:from>
    <xdr:to>
      <xdr:col>1</xdr:col>
      <xdr:colOff>1581150</xdr:colOff>
      <xdr:row>7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014F59-3B42-4407-A39B-15414ABED6E0}"/>
            </a:ext>
          </a:extLst>
        </xdr:cNvPr>
        <xdr:cNvSpPr txBox="1"/>
      </xdr:nvSpPr>
      <xdr:spPr>
        <a:xfrm>
          <a:off x="228600" y="1428750"/>
          <a:ext cx="1581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External </a:t>
          </a:r>
          <a:r>
            <a:rPr lang="en-US" sz="1100" baseline="0"/>
            <a:t>Factors (EFAS)</a:t>
          </a:r>
          <a:endParaRPr lang="en-US" sz="1100"/>
        </a:p>
      </xdr:txBody>
    </xdr:sp>
    <xdr:clientData/>
  </xdr:twoCellAnchor>
  <xdr:twoCellAnchor editAs="oneCell">
    <xdr:from>
      <xdr:col>6</xdr:col>
      <xdr:colOff>276226</xdr:colOff>
      <xdr:row>2</xdr:row>
      <xdr:rowOff>28575</xdr:rowOff>
    </xdr:from>
    <xdr:to>
      <xdr:col>9</xdr:col>
      <xdr:colOff>417350</xdr:colOff>
      <xdr:row>10</xdr:row>
      <xdr:rowOff>194910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52ABB3-8EC9-4929-B728-13E8D7533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1" y="581025"/>
          <a:ext cx="1969924" cy="1830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BF0-7620-4791-A6FE-8A620FF52606}">
  <sheetPr>
    <pageSetUpPr fitToPage="1"/>
  </sheetPr>
  <dimension ref="A1:AR353"/>
  <sheetViews>
    <sheetView zoomScale="120" zoomScaleNormal="120" workbookViewId="0">
      <selection activeCell="E17" sqref="E17"/>
    </sheetView>
  </sheetViews>
  <sheetFormatPr defaultRowHeight="15" x14ac:dyDescent="0.25"/>
  <cols>
    <col min="1" max="1" width="5.140625" customWidth="1"/>
    <col min="2" max="2" width="61.28515625" customWidth="1"/>
    <col min="3" max="3" width="21.5703125" customWidth="1"/>
    <col min="4" max="4" width="21.5703125" bestFit="1" customWidth="1"/>
    <col min="5" max="5" width="45.7109375" customWidth="1"/>
    <col min="6" max="6" width="8.140625" customWidth="1"/>
    <col min="7" max="7" width="20" bestFit="1" customWidth="1"/>
    <col min="13" max="13" width="5.28515625" customWidth="1"/>
    <col min="14" max="14" width="21.5703125" bestFit="1" customWidth="1"/>
  </cols>
  <sheetData>
    <row r="1" spans="1:44" x14ac:dyDescent="0.25">
      <c r="A1" s="8"/>
      <c r="B1" s="88"/>
      <c r="C1" s="88"/>
      <c r="D1" s="88"/>
      <c r="E1" s="8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x14ac:dyDescent="0.25">
      <c r="A2" s="8"/>
      <c r="B2" s="86" t="s">
        <v>42</v>
      </c>
      <c r="C2" s="86"/>
      <c r="D2" s="86"/>
      <c r="E2" s="8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x14ac:dyDescent="0.25">
      <c r="A3" s="8"/>
      <c r="B3" s="5" t="s">
        <v>43</v>
      </c>
      <c r="C3" s="5" t="s">
        <v>44</v>
      </c>
      <c r="D3" s="5" t="s">
        <v>45</v>
      </c>
      <c r="E3" s="5" t="s">
        <v>46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x14ac:dyDescent="0.25">
      <c r="A4" s="8"/>
      <c r="B4" s="6" t="s">
        <v>47</v>
      </c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 spans="1:44" x14ac:dyDescent="0.25">
      <c r="A5" s="8"/>
      <c r="B5" s="17" t="s">
        <v>172</v>
      </c>
      <c r="C5" s="15" t="s">
        <v>80</v>
      </c>
      <c r="D5" s="15" t="s">
        <v>72</v>
      </c>
      <c r="E5" s="16" t="s">
        <v>151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1:44" x14ac:dyDescent="0.25">
      <c r="A6" s="8"/>
      <c r="B6" s="17" t="s">
        <v>118</v>
      </c>
      <c r="C6" s="15" t="s">
        <v>73</v>
      </c>
      <c r="D6" s="15" t="s">
        <v>78</v>
      </c>
      <c r="E6" s="16" t="s">
        <v>135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spans="1:44" ht="30" x14ac:dyDescent="0.25">
      <c r="A7" s="8"/>
      <c r="B7" s="17" t="s">
        <v>119</v>
      </c>
      <c r="C7" s="15" t="s">
        <v>80</v>
      </c>
      <c r="D7" s="15" t="s">
        <v>112</v>
      </c>
      <c r="E7" s="16" t="s">
        <v>136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ht="30" x14ac:dyDescent="0.25">
      <c r="A8" s="8"/>
      <c r="B8" s="17" t="s">
        <v>120</v>
      </c>
      <c r="C8" s="15" t="s">
        <v>80</v>
      </c>
      <c r="D8" s="15" t="s">
        <v>78</v>
      </c>
      <c r="E8" s="16" t="s">
        <v>153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44" ht="45" x14ac:dyDescent="0.25">
      <c r="A9" s="8"/>
      <c r="B9" s="17" t="s">
        <v>170</v>
      </c>
      <c r="C9" s="15" t="s">
        <v>80</v>
      </c>
      <c r="D9" s="15" t="s">
        <v>72</v>
      </c>
      <c r="E9" s="16" t="s">
        <v>171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spans="1:44" s="78" customFormat="1" x14ac:dyDescent="0.25">
      <c r="B10" s="79"/>
      <c r="C10" s="80" t="s">
        <v>80</v>
      </c>
      <c r="D10" s="80" t="s">
        <v>72</v>
      </c>
      <c r="E10" s="81"/>
    </row>
    <row r="11" spans="1:44" x14ac:dyDescent="0.25">
      <c r="A11" s="8"/>
      <c r="B11" s="25" t="s">
        <v>48</v>
      </c>
      <c r="C11" s="26"/>
      <c r="D11" s="27"/>
      <c r="E11" s="2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4" x14ac:dyDescent="0.25">
      <c r="A12" s="8"/>
      <c r="B12" s="77" t="s">
        <v>121</v>
      </c>
      <c r="C12" s="15" t="s">
        <v>71</v>
      </c>
      <c r="D12" s="15" t="s">
        <v>112</v>
      </c>
      <c r="E12" s="16" t="s">
        <v>137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4" x14ac:dyDescent="0.25">
      <c r="A13" s="8"/>
      <c r="B13" s="77" t="s">
        <v>122</v>
      </c>
      <c r="C13" s="15" t="s">
        <v>71</v>
      </c>
      <c r="D13" s="15" t="s">
        <v>123</v>
      </c>
      <c r="E13" s="16" t="s">
        <v>138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4" ht="15.75" customHeight="1" x14ac:dyDescent="0.25">
      <c r="A14" s="8"/>
      <c r="B14" s="77" t="s">
        <v>173</v>
      </c>
      <c r="C14" s="15" t="s">
        <v>71</v>
      </c>
      <c r="D14" s="15" t="s">
        <v>112</v>
      </c>
      <c r="E14" s="16" t="s">
        <v>174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4" ht="15" customHeight="1" x14ac:dyDescent="0.25">
      <c r="A15" s="8"/>
      <c r="B15" s="77"/>
      <c r="C15" s="15" t="s">
        <v>71</v>
      </c>
      <c r="D15" s="15" t="s">
        <v>112</v>
      </c>
      <c r="E15" s="1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4" x14ac:dyDescent="0.25">
      <c r="A16" s="8"/>
      <c r="B16" s="77"/>
      <c r="C16" s="15" t="s">
        <v>71</v>
      </c>
      <c r="D16" s="15" t="s">
        <v>78</v>
      </c>
      <c r="E16" s="16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x14ac:dyDescent="0.25">
      <c r="A19" s="8"/>
      <c r="B19" s="87" t="s">
        <v>49</v>
      </c>
      <c r="C19" s="87"/>
      <c r="D19" s="87"/>
      <c r="E19" s="8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x14ac:dyDescent="0.25">
      <c r="A20" s="8"/>
      <c r="B20" s="5" t="s">
        <v>50</v>
      </c>
      <c r="C20" s="5" t="s">
        <v>0</v>
      </c>
      <c r="D20" s="9" t="s">
        <v>81</v>
      </c>
      <c r="E20" s="5" t="s">
        <v>46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x14ac:dyDescent="0.25">
      <c r="A21" s="8"/>
      <c r="B21" s="6" t="s">
        <v>51</v>
      </c>
      <c r="C21" s="7"/>
      <c r="D21" s="10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ht="15" customHeight="1" x14ac:dyDescent="0.25">
      <c r="A22" s="8"/>
      <c r="B22" s="77" t="s">
        <v>124</v>
      </c>
      <c r="C22" s="18" t="s">
        <v>55</v>
      </c>
      <c r="D22" s="23" t="s">
        <v>66</v>
      </c>
      <c r="E22" s="19" t="s">
        <v>139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ht="30" x14ac:dyDescent="0.25">
      <c r="A23" s="8"/>
      <c r="B23" s="77" t="s">
        <v>114</v>
      </c>
      <c r="C23" s="18" t="s">
        <v>53</v>
      </c>
      <c r="D23" s="23" t="s">
        <v>117</v>
      </c>
      <c r="E23" s="19" t="s">
        <v>140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ht="15" customHeight="1" x14ac:dyDescent="0.25">
      <c r="A24" s="8"/>
      <c r="B24" s="77" t="s">
        <v>125</v>
      </c>
      <c r="C24" s="18" t="s">
        <v>53</v>
      </c>
      <c r="D24" s="23" t="s">
        <v>117</v>
      </c>
      <c r="E24" s="19" t="s">
        <v>141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ht="30" x14ac:dyDescent="0.25">
      <c r="A25" s="8"/>
      <c r="B25" s="77" t="s">
        <v>115</v>
      </c>
      <c r="C25" s="18" t="s">
        <v>55</v>
      </c>
      <c r="D25" s="23" t="s">
        <v>77</v>
      </c>
      <c r="E25" s="19" t="s">
        <v>142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x14ac:dyDescent="0.25">
      <c r="A26" s="8"/>
      <c r="B26" s="77" t="s">
        <v>126</v>
      </c>
      <c r="C26" s="18" t="s">
        <v>55</v>
      </c>
      <c r="D26" s="23" t="s">
        <v>66</v>
      </c>
      <c r="E26" s="19" t="s">
        <v>144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s="78" customFormat="1" x14ac:dyDescent="0.25">
      <c r="B27" s="82" t="s">
        <v>158</v>
      </c>
      <c r="C27" s="83" t="s">
        <v>53</v>
      </c>
      <c r="D27" s="84" t="s">
        <v>117</v>
      </c>
      <c r="E27" s="85" t="s">
        <v>159</v>
      </c>
    </row>
    <row r="28" spans="1:43" x14ac:dyDescent="0.25">
      <c r="A28" s="8"/>
      <c r="B28" s="20" t="s">
        <v>52</v>
      </c>
      <c r="C28" s="21"/>
      <c r="D28" s="24"/>
      <c r="E28" s="2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x14ac:dyDescent="0.25">
      <c r="A29" s="8"/>
      <c r="B29" s="77" t="s">
        <v>127</v>
      </c>
      <c r="C29" s="18" t="s">
        <v>143</v>
      </c>
      <c r="D29" s="23" t="s">
        <v>117</v>
      </c>
      <c r="E29" s="19" t="s">
        <v>145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ht="15" customHeight="1" x14ac:dyDescent="0.25">
      <c r="A30" s="8"/>
      <c r="B30" s="77" t="s">
        <v>128</v>
      </c>
      <c r="C30" s="18" t="s">
        <v>53</v>
      </c>
      <c r="D30" s="23" t="s">
        <v>117</v>
      </c>
      <c r="E30" s="19" t="s">
        <v>146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x14ac:dyDescent="0.25">
      <c r="A31" s="8"/>
      <c r="B31" s="77" t="s">
        <v>129</v>
      </c>
      <c r="C31" s="18" t="s">
        <v>53</v>
      </c>
      <c r="D31" s="23" t="s">
        <v>117</v>
      </c>
      <c r="E31" s="19" t="s">
        <v>147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x14ac:dyDescent="0.25">
      <c r="A32" s="8"/>
      <c r="B32" s="77" t="s">
        <v>116</v>
      </c>
      <c r="C32" s="18" t="s">
        <v>55</v>
      </c>
      <c r="D32" s="23" t="s">
        <v>77</v>
      </c>
      <c r="E32" s="19" t="s">
        <v>148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x14ac:dyDescent="0.25">
      <c r="A33" s="8"/>
      <c r="B33" s="77" t="s">
        <v>149</v>
      </c>
      <c r="C33" s="18" t="s">
        <v>55</v>
      </c>
      <c r="D33" s="23" t="s">
        <v>66</v>
      </c>
      <c r="E33" s="19" t="s">
        <v>150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43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43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spans="1:43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spans="1:43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spans="1:43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spans="1:43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spans="1:43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spans="1:43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spans="1:43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spans="1:43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spans="1:43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spans="1:43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43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43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spans="1:43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43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43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7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17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1:17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spans="1:17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spans="1:17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spans="1:17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1:17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7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spans="1:17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7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spans="1:17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17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1:17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1:17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17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1:17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17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17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1:17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1:17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1:17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spans="1:17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17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17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spans="1:17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17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17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17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17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17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17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17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17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1:17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1:17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17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1:17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1:17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spans="1:17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1:17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17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1:17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1:17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1:17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17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spans="1:17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spans="1:17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spans="1:17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spans="1:17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spans="1:17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spans="1:17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spans="1:17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1:17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spans="1:17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spans="1:17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spans="1:17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spans="1:17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spans="1:17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spans="1:17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spans="1:17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spans="1:17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17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spans="1:17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spans="1:17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spans="1:17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spans="1:17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1:17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spans="1:17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spans="1:17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spans="1:17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spans="1:17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spans="1:17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spans="1:17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spans="1:17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spans="1:17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spans="1:17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spans="1:17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spans="1:17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spans="1:17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spans="1:17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spans="1:17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spans="1:17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spans="1:17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spans="1:17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spans="1:17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spans="1:17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17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spans="1:17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spans="1:17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spans="1:17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spans="1:17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spans="1:17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spans="1:17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spans="1:17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spans="1:17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spans="1:17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spans="1:17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spans="1:17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spans="1:17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spans="1:17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spans="1:17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spans="1:17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spans="1:17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spans="1:17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spans="1:17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spans="1:17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spans="1:17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spans="1:17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spans="1:17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spans="1:17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spans="1:17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spans="1:17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spans="1:17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spans="1:17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spans="1:17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spans="1:17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spans="1:17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spans="1:17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spans="1:17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spans="1:17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spans="1:17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spans="1:17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spans="1:17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spans="1:17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spans="1:17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spans="1:17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spans="1:17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spans="1:17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spans="1:17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 spans="1:17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 spans="1:17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spans="1:17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 spans="1:17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 spans="1:17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 spans="1:17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 spans="1:17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spans="1:17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 spans="1:17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 spans="1:17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spans="1:17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 spans="1:17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spans="1:17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 spans="1:17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 spans="1:17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 spans="1:17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spans="1:17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spans="1:17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 spans="1:17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 spans="1:17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 spans="1:17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spans="1:17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spans="1:17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 spans="1:17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spans="1:17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 spans="1:17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 spans="1:17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spans="1:17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 spans="1:17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 spans="1:17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 spans="1:17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 spans="1:17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spans="1:17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 spans="1:17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 spans="1:17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 spans="1:17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spans="1:17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spans="1:17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spans="1:17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spans="1:17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spans="1:17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spans="1:17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spans="1:17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spans="1:17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spans="1:17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</sheetData>
  <sheetProtection selectLockedCells="1"/>
  <mergeCells count="3">
    <mergeCell ref="B2:E2"/>
    <mergeCell ref="B19:E19"/>
    <mergeCell ref="B1:E1"/>
  </mergeCells>
  <dataValidations count="5">
    <dataValidation type="list" allowBlank="1" showInputMessage="1" showErrorMessage="1" sqref="D12:D16 D5:D10" xr:uid="{8E50D384-A189-4F49-8261-A7AEE453F109}">
      <formula1>"Never/Rarely, Occasionally, Sometimes, Often, Always/Almost Always"</formula1>
    </dataValidation>
    <dataValidation type="list" allowBlank="1" showInputMessage="1" showErrorMessage="1" sqref="C5 C12" xr:uid="{87C310CF-E4A6-4FA2-AF25-4BDB55B0D399}">
      <formula1>"Significant Strength, Strength, Weakness, Significant Weakness "</formula1>
    </dataValidation>
    <dataValidation type="list" allowBlank="1" showInputMessage="1" showErrorMessage="1" sqref="C13:C16 C6:C10" xr:uid="{692EF275-5A75-4D46-A4F2-BA2ABD5D0F1E}">
      <formula1>"Significant Strength, Strength, Weakness, Significan Weakness "</formula1>
    </dataValidation>
    <dataValidation type="list" allowBlank="1" showInputMessage="1" showErrorMessage="1" sqref="C29:C33 C22:C27" xr:uid="{FE104D85-83A1-4F35-B47A-3CB19782064D}">
      <formula1>"Very Likely, Likely, Possible, Unlikely, Very Unlikely"</formula1>
    </dataValidation>
    <dataValidation type="list" allowBlank="1" showInputMessage="1" showErrorMessage="1" sqref="D29:D33 D22:D27" xr:uid="{9E11528D-2743-4B41-B55C-D7E000FEC187}">
      <formula1>"Major, Moderate, Minor, Insignificant"</formula1>
    </dataValidation>
  </dataValidations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E807-D63B-4396-91E8-EDDEA6164616}">
  <sheetPr>
    <pageSetUpPr fitToPage="1"/>
  </sheetPr>
  <dimension ref="A1:R40"/>
  <sheetViews>
    <sheetView tabSelected="1" topLeftCell="C1" zoomScale="132" zoomScaleNormal="132" workbookViewId="0">
      <selection activeCell="F6" sqref="F6"/>
    </sheetView>
  </sheetViews>
  <sheetFormatPr defaultRowHeight="15" x14ac:dyDescent="0.25"/>
  <cols>
    <col min="1" max="1" width="3.42578125" customWidth="1"/>
    <col min="2" max="2" width="39.140625" customWidth="1"/>
    <col min="3" max="3" width="3" customWidth="1"/>
    <col min="4" max="4" width="57.140625" customWidth="1"/>
    <col min="5" max="5" width="3.140625" customWidth="1"/>
    <col min="6" max="6" width="61.85546875" customWidth="1"/>
    <col min="8" max="19" width="0" hidden="1" customWidth="1"/>
  </cols>
  <sheetData>
    <row r="1" spans="1:18" s="8" customFormat="1" x14ac:dyDescent="0.25"/>
    <row r="2" spans="1:18" ht="28.5" customHeight="1" x14ac:dyDescent="0.35">
      <c r="A2" s="95" t="s">
        <v>113</v>
      </c>
      <c r="B2" s="95"/>
      <c r="C2" s="95"/>
      <c r="D2" s="95"/>
      <c r="E2" s="95"/>
      <c r="F2" s="9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5">
      <c r="A3" s="89"/>
      <c r="B3" s="90"/>
      <c r="C3" s="102" t="s">
        <v>47</v>
      </c>
      <c r="D3" s="103"/>
      <c r="E3" s="102" t="s">
        <v>48</v>
      </c>
      <c r="F3" s="10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91"/>
      <c r="B4" s="92"/>
      <c r="C4" s="13" t="s">
        <v>56</v>
      </c>
      <c r="D4" s="33" t="str">
        <f>IF('SWOT Inputs'!B5=0,"",'SWOT Inputs'!B5)</f>
        <v>Commitment to Quality</v>
      </c>
      <c r="E4" s="13" t="s">
        <v>56</v>
      </c>
      <c r="F4" s="34" t="str">
        <f>IF('SWOT Inputs'!B12=0,"",'SWOT Inputs'!B12)</f>
        <v>Lack of Experience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5.75" x14ac:dyDescent="0.25">
      <c r="A5" s="91"/>
      <c r="B5" s="92"/>
      <c r="C5" s="13" t="s">
        <v>57</v>
      </c>
      <c r="D5" s="33" t="str">
        <f>IF('SWOT Inputs'!B6=0,"",'SWOT Inputs'!B6)</f>
        <v>Geography</v>
      </c>
      <c r="E5" s="13" t="s">
        <v>57</v>
      </c>
      <c r="F5" s="34" t="str">
        <f>IF('SWOT Inputs'!B13=0,"",'SWOT Inputs'!B13)</f>
        <v>Aging Workforce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5.75" x14ac:dyDescent="0.25">
      <c r="A6" s="91"/>
      <c r="B6" s="92"/>
      <c r="C6" s="13" t="s">
        <v>58</v>
      </c>
      <c r="D6" s="33" t="str">
        <f>IF('SWOT Inputs'!B7=0,"",'SWOT Inputs'!B7)</f>
        <v xml:space="preserve">Knowledge Base  </v>
      </c>
      <c r="E6" s="13" t="s">
        <v>58</v>
      </c>
      <c r="F6" s="34" t="str">
        <f>IF('SWOT Inputs'!B14=0,"",'SWOT Inputs'!B14)</f>
        <v>Downtime Management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5.75" x14ac:dyDescent="0.25">
      <c r="A7" s="91"/>
      <c r="B7" s="92"/>
      <c r="C7" s="13" t="s">
        <v>59</v>
      </c>
      <c r="D7" s="33" t="str">
        <f>IF('SWOT Inputs'!B8=0,"",'SWOT Inputs'!B8)</f>
        <v>Support/Recources</v>
      </c>
      <c r="E7" s="13" t="s">
        <v>59</v>
      </c>
      <c r="F7" s="34" t="str">
        <f>IF('SWOT Inputs'!B15=0,"",'SWOT Inputs'!B15)</f>
        <v/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5.75" x14ac:dyDescent="0.25">
      <c r="A8" s="93"/>
      <c r="B8" s="94"/>
      <c r="C8" s="14" t="s">
        <v>60</v>
      </c>
      <c r="D8" s="33" t="str">
        <f>IF('SWOT Inputs'!B9=0,"",'SWOT Inputs'!B9)</f>
        <v>Culture of Inclusion and Retention</v>
      </c>
      <c r="E8" s="14" t="s">
        <v>60</v>
      </c>
      <c r="F8" s="35" t="str">
        <f>IF('SWOT Inputs'!B16=0,"",'SWOT Inputs'!B16)</f>
        <v/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5" customHeight="1" x14ac:dyDescent="0.25">
      <c r="A9" s="100" t="s">
        <v>63</v>
      </c>
      <c r="B9" s="101"/>
      <c r="C9" s="96" t="s">
        <v>61</v>
      </c>
      <c r="D9" s="97"/>
      <c r="E9" s="96" t="s">
        <v>62</v>
      </c>
      <c r="F9" s="9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45" x14ac:dyDescent="0.25">
      <c r="A10" s="13" t="s">
        <v>56</v>
      </c>
      <c r="B10" s="29" t="str">
        <f>IF('SWOT Inputs'!B22=0,"",'SWOT Inputs'!B22)</f>
        <v>Customer Interactions</v>
      </c>
      <c r="C10" s="11" t="s">
        <v>56</v>
      </c>
      <c r="D10" s="36" t="s">
        <v>152</v>
      </c>
      <c r="E10" s="11" t="s">
        <v>56</v>
      </c>
      <c r="F10" s="36" t="s">
        <v>163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45" x14ac:dyDescent="0.25">
      <c r="A11" s="13" t="s">
        <v>57</v>
      </c>
      <c r="B11" s="29" t="str">
        <f>IF('SWOT Inputs'!B23=0,"",'SWOT Inputs'!B23)</f>
        <v>Mandates, obsolescence and targeted STC opportunities.</v>
      </c>
      <c r="C11" s="11" t="s">
        <v>57</v>
      </c>
      <c r="D11" s="37" t="s">
        <v>156</v>
      </c>
      <c r="E11" s="11" t="s">
        <v>57</v>
      </c>
      <c r="F11" s="37" t="s">
        <v>164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30" customHeight="1" x14ac:dyDescent="0.25">
      <c r="A12" s="13" t="s">
        <v>58</v>
      </c>
      <c r="B12" s="29" t="str">
        <f>IF('SWOT Inputs'!B24=0,"",'SWOT Inputs'!B24)</f>
        <v>Develop specific sales Strategies</v>
      </c>
      <c r="C12" s="11" t="s">
        <v>58</v>
      </c>
      <c r="D12" s="37" t="s">
        <v>154</v>
      </c>
      <c r="E12" s="11" t="s">
        <v>58</v>
      </c>
      <c r="F12" s="37" t="s">
        <v>165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30" x14ac:dyDescent="0.25">
      <c r="A13" s="13" t="s">
        <v>59</v>
      </c>
      <c r="B13" s="29" t="str">
        <f>IF('SWOT Inputs'!B25=0,"",'SWOT Inputs'!B25)</f>
        <v>FDR, CVR, safety systems.</v>
      </c>
      <c r="C13" s="11" t="s">
        <v>59</v>
      </c>
      <c r="D13" s="37" t="s">
        <v>155</v>
      </c>
      <c r="E13" s="11" t="s">
        <v>59</v>
      </c>
      <c r="F13" s="37" t="s">
        <v>166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45" x14ac:dyDescent="0.25">
      <c r="A14" s="14" t="s">
        <v>60</v>
      </c>
      <c r="B14" s="29" t="str">
        <f>IF('SWOT Inputs'!B26=0,"",'SWOT Inputs'!B26)</f>
        <v>Airframe support/maintenance partners</v>
      </c>
      <c r="C14" s="12" t="s">
        <v>60</v>
      </c>
      <c r="D14" s="38" t="s">
        <v>157</v>
      </c>
      <c r="E14" s="12" t="s">
        <v>60</v>
      </c>
      <c r="F14" s="38" t="s">
        <v>130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5" customHeight="1" x14ac:dyDescent="0.25">
      <c r="A15" s="100" t="s">
        <v>52</v>
      </c>
      <c r="B15" s="101"/>
      <c r="C15" s="96" t="s">
        <v>64</v>
      </c>
      <c r="D15" s="97"/>
      <c r="E15" s="98" t="s">
        <v>65</v>
      </c>
      <c r="F15" s="9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45" x14ac:dyDescent="0.25">
      <c r="A16" s="13" t="s">
        <v>56</v>
      </c>
      <c r="B16" s="29" t="str">
        <f>IF('SWOT Inputs'!B29=0,"",'SWOT Inputs'!B29)</f>
        <v>Lease Agreements</v>
      </c>
      <c r="C16" s="11" t="s">
        <v>56</v>
      </c>
      <c r="D16" s="36" t="s">
        <v>160</v>
      </c>
      <c r="E16" s="11" t="s">
        <v>56</v>
      </c>
      <c r="F16" s="36" t="s">
        <v>167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30" x14ac:dyDescent="0.25">
      <c r="A17" s="13" t="s">
        <v>57</v>
      </c>
      <c r="B17" s="29" t="str">
        <f>IF('SWOT Inputs'!B30=0,"",'SWOT Inputs'!B30)</f>
        <v>Vendor Support</v>
      </c>
      <c r="C17" s="11" t="s">
        <v>57</v>
      </c>
      <c r="D17" s="37" t="s">
        <v>131</v>
      </c>
      <c r="E17" s="11" t="s">
        <v>57</v>
      </c>
      <c r="F17" s="37" t="s">
        <v>133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" customHeight="1" x14ac:dyDescent="0.25">
      <c r="A18" s="13" t="s">
        <v>58</v>
      </c>
      <c r="B18" s="29" t="str">
        <f>IF('SWOT Inputs'!B31=0,"",'SWOT Inputs'!B31)</f>
        <v>Political Enviroment</v>
      </c>
      <c r="C18" s="11" t="s">
        <v>58</v>
      </c>
      <c r="D18" s="37" t="s">
        <v>161</v>
      </c>
      <c r="E18" s="11" t="s">
        <v>58</v>
      </c>
      <c r="F18" s="37" t="s">
        <v>168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30" x14ac:dyDescent="0.25">
      <c r="A19" s="13" t="s">
        <v>59</v>
      </c>
      <c r="B19" s="29" t="str">
        <f>IF('SWOT Inputs'!B32=0,"",'SWOT Inputs'!B32)</f>
        <v>Mobile competition and the changing market.</v>
      </c>
      <c r="C19" s="11" t="s">
        <v>59</v>
      </c>
      <c r="D19" s="37" t="s">
        <v>132</v>
      </c>
      <c r="E19" s="11" t="s">
        <v>59</v>
      </c>
      <c r="F19" s="37" t="s">
        <v>134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45" x14ac:dyDescent="0.25">
      <c r="A20" s="14" t="s">
        <v>60</v>
      </c>
      <c r="B20" s="30" t="str">
        <f>IF('SWOT Inputs'!B33=0,"",'SWOT Inputs'!B33)</f>
        <v>Competition</v>
      </c>
      <c r="C20" s="12" t="s">
        <v>60</v>
      </c>
      <c r="D20" s="38" t="s">
        <v>162</v>
      </c>
      <c r="E20" s="12" t="s">
        <v>60</v>
      </c>
      <c r="F20" s="37" t="s">
        <v>169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</sheetData>
  <sheetProtection selectLockedCells="1"/>
  <mergeCells count="10">
    <mergeCell ref="A3:B8"/>
    <mergeCell ref="A2:F2"/>
    <mergeCell ref="C9:D9"/>
    <mergeCell ref="E9:F9"/>
    <mergeCell ref="C15:D15"/>
    <mergeCell ref="E15:F15"/>
    <mergeCell ref="A9:B9"/>
    <mergeCell ref="A15:B15"/>
    <mergeCell ref="C3:D3"/>
    <mergeCell ref="E3:F3"/>
  </mergeCells>
  <pageMargins left="0.25" right="0.25" top="0.75" bottom="0.75" header="0.3" footer="0.3"/>
  <pageSetup scale="75" fitToHeight="0" orientation="landscape" r:id="rId1"/>
  <ignoredErrors>
    <ignoredError sqref="C4:C8 E4:E8 A16:A20 A10:A14 C10:C14 E10:E14 E16:E20 C16:C2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4024-6106-466F-94F2-B19BA4490B74}">
  <sheetPr>
    <tabColor rgb="FFFFC000"/>
  </sheetPr>
  <dimension ref="A1:AR377"/>
  <sheetViews>
    <sheetView zoomScale="90" zoomScaleNormal="90" workbookViewId="0">
      <selection activeCell="H7" sqref="H7"/>
    </sheetView>
  </sheetViews>
  <sheetFormatPr defaultColWidth="9.140625" defaultRowHeight="15" x14ac:dyDescent="0.25"/>
  <cols>
    <col min="1" max="1" width="5.140625" style="40" customWidth="1"/>
    <col min="2" max="2" width="31.85546875" style="40" customWidth="1"/>
    <col min="3" max="3" width="21.5703125" style="40" customWidth="1"/>
    <col min="4" max="4" width="21.5703125" style="40" bestFit="1" customWidth="1"/>
    <col min="5" max="5" width="45.7109375" style="40" customWidth="1"/>
    <col min="6" max="6" width="8.140625" style="40" customWidth="1"/>
    <col min="7" max="7" width="20" style="40" bestFit="1" customWidth="1"/>
    <col min="8" max="12" width="9.140625" style="40"/>
    <col min="13" max="13" width="5.28515625" style="40" customWidth="1"/>
    <col min="14" max="14" width="21.5703125" style="40" bestFit="1" customWidth="1"/>
    <col min="15" max="16384" width="9.140625" style="40"/>
  </cols>
  <sheetData>
    <row r="1" spans="1:44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4" x14ac:dyDescent="0.25">
      <c r="A2" s="39"/>
      <c r="B2" s="104" t="s">
        <v>76</v>
      </c>
      <c r="C2" s="104"/>
      <c r="D2" s="104"/>
      <c r="E2" s="104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</row>
    <row r="3" spans="1:44" x14ac:dyDescent="0.25">
      <c r="A3" s="39"/>
      <c r="B3" s="41" t="s">
        <v>43</v>
      </c>
      <c r="C3" s="41" t="s">
        <v>44</v>
      </c>
      <c r="D3" s="41" t="s">
        <v>45</v>
      </c>
      <c r="E3" s="41" t="s">
        <v>46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spans="1:44" x14ac:dyDescent="0.25">
      <c r="A4" s="39"/>
      <c r="B4" s="42" t="s">
        <v>47</v>
      </c>
      <c r="C4" s="43"/>
      <c r="D4" s="43"/>
      <c r="E4" s="43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</row>
    <row r="5" spans="1:44" x14ac:dyDescent="0.25">
      <c r="A5" s="39"/>
      <c r="B5" s="44" t="s">
        <v>89</v>
      </c>
      <c r="C5" s="45" t="s">
        <v>73</v>
      </c>
      <c r="D5" s="45" t="s">
        <v>72</v>
      </c>
      <c r="E5" s="46" t="s">
        <v>111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</row>
    <row r="6" spans="1:44" ht="30" x14ac:dyDescent="0.25">
      <c r="A6" s="39"/>
      <c r="B6" s="47" t="s">
        <v>90</v>
      </c>
      <c r="C6" s="45" t="s">
        <v>80</v>
      </c>
      <c r="D6" s="45" t="s">
        <v>72</v>
      </c>
      <c r="E6" s="46" t="s">
        <v>93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</row>
    <row r="7" spans="1:44" ht="45" x14ac:dyDescent="0.25">
      <c r="A7" s="39"/>
      <c r="B7" s="47" t="s">
        <v>92</v>
      </c>
      <c r="C7" s="45" t="s">
        <v>80</v>
      </c>
      <c r="D7" s="45" t="s">
        <v>78</v>
      </c>
      <c r="E7" s="46" t="s">
        <v>94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</row>
    <row r="8" spans="1:44" ht="30" x14ac:dyDescent="0.25">
      <c r="A8" s="39"/>
      <c r="B8" s="47" t="s">
        <v>79</v>
      </c>
      <c r="C8" s="45" t="s">
        <v>80</v>
      </c>
      <c r="D8" s="45" t="s">
        <v>78</v>
      </c>
      <c r="E8" s="46" t="s">
        <v>95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</row>
    <row r="9" spans="1:44" hidden="1" x14ac:dyDescent="0.25">
      <c r="A9" s="39"/>
      <c r="B9" s="47"/>
      <c r="C9" s="45"/>
      <c r="D9" s="45"/>
      <c r="E9" s="4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</row>
    <row r="10" spans="1:44" x14ac:dyDescent="0.25">
      <c r="A10" s="39"/>
      <c r="B10" s="49" t="s">
        <v>43</v>
      </c>
      <c r="C10" s="50" t="s">
        <v>44</v>
      </c>
      <c r="D10" s="41" t="s">
        <v>45</v>
      </c>
      <c r="E10" s="49" t="s">
        <v>46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</row>
    <row r="11" spans="1:44" x14ac:dyDescent="0.25">
      <c r="A11" s="39"/>
      <c r="B11" s="51" t="s">
        <v>48</v>
      </c>
      <c r="C11" s="52"/>
      <c r="D11" s="53"/>
      <c r="E11" s="54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</row>
    <row r="12" spans="1:44" ht="30" x14ac:dyDescent="0.25">
      <c r="A12" s="39"/>
      <c r="B12" s="44" t="s">
        <v>82</v>
      </c>
      <c r="C12" s="45" t="s">
        <v>96</v>
      </c>
      <c r="D12" s="45" t="s">
        <v>78</v>
      </c>
      <c r="E12" s="46" t="s">
        <v>97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44" ht="30" x14ac:dyDescent="0.25">
      <c r="A13" s="39"/>
      <c r="B13" s="47" t="s">
        <v>91</v>
      </c>
      <c r="C13" s="45" t="s">
        <v>71</v>
      </c>
      <c r="D13" s="45" t="s">
        <v>112</v>
      </c>
      <c r="E13" s="48" t="s">
        <v>98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1:44" ht="45" x14ac:dyDescent="0.25">
      <c r="A14" s="39"/>
      <c r="B14" s="47" t="s">
        <v>83</v>
      </c>
      <c r="C14" s="45" t="s">
        <v>71</v>
      </c>
      <c r="D14" s="45" t="s">
        <v>78</v>
      </c>
      <c r="E14" s="46" t="s">
        <v>99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</row>
    <row r="15" spans="1:44" hidden="1" x14ac:dyDescent="0.25">
      <c r="A15" s="39"/>
      <c r="B15" s="47"/>
      <c r="C15" s="45"/>
      <c r="D15" s="45"/>
      <c r="E15" s="4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1:44" hidden="1" x14ac:dyDescent="0.25">
      <c r="A16" s="39"/>
      <c r="B16" s="47"/>
      <c r="C16" s="45"/>
      <c r="D16" s="45"/>
      <c r="E16" s="4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 spans="1:43" hidden="1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1:43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1:43" x14ac:dyDescent="0.25">
      <c r="A19" s="39"/>
      <c r="B19" s="105" t="s">
        <v>75</v>
      </c>
      <c r="C19" s="105"/>
      <c r="D19" s="105"/>
      <c r="E19" s="105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 spans="1:43" x14ac:dyDescent="0.25">
      <c r="A20" s="39"/>
      <c r="B20" s="41" t="s">
        <v>50</v>
      </c>
      <c r="C20" s="41" t="s">
        <v>0</v>
      </c>
      <c r="D20" s="55" t="s">
        <v>81</v>
      </c>
      <c r="E20" s="41" t="s">
        <v>46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1:43" x14ac:dyDescent="0.25">
      <c r="A21" s="39"/>
      <c r="B21" s="42" t="s">
        <v>51</v>
      </c>
      <c r="C21" s="43"/>
      <c r="D21" s="56"/>
      <c r="E21" s="43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1:43" ht="45" x14ac:dyDescent="0.25">
      <c r="A22" s="39"/>
      <c r="B22" s="47" t="s">
        <v>100</v>
      </c>
      <c r="C22" s="45" t="s">
        <v>53</v>
      </c>
      <c r="D22" s="57" t="s">
        <v>66</v>
      </c>
      <c r="E22" s="46" t="s">
        <v>107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 ht="30" x14ac:dyDescent="0.25">
      <c r="A23" s="39"/>
      <c r="B23" s="47" t="s">
        <v>101</v>
      </c>
      <c r="C23" s="45" t="s">
        <v>55</v>
      </c>
      <c r="D23" s="57" t="s">
        <v>77</v>
      </c>
      <c r="E23" s="46" t="s">
        <v>108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spans="1:43" ht="29.25" customHeight="1" x14ac:dyDescent="0.25">
      <c r="A24" s="39"/>
      <c r="B24" s="47" t="s">
        <v>102</v>
      </c>
      <c r="C24" s="45" t="s">
        <v>54</v>
      </c>
      <c r="D24" s="57" t="s">
        <v>66</v>
      </c>
      <c r="E24" s="46" t="s">
        <v>109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 hidden="1" x14ac:dyDescent="0.25">
      <c r="A25" s="39"/>
      <c r="B25" s="47"/>
      <c r="C25" s="45"/>
      <c r="D25" s="57"/>
      <c r="E25" s="48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pans="1:43" hidden="1" x14ac:dyDescent="0.25">
      <c r="A26" s="39"/>
      <c r="B26" s="47"/>
      <c r="C26" s="45"/>
      <c r="D26" s="57"/>
      <c r="E26" s="48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 x14ac:dyDescent="0.25">
      <c r="A27" s="39"/>
      <c r="B27" s="51" t="s">
        <v>52</v>
      </c>
      <c r="C27" s="52"/>
      <c r="D27" s="58"/>
      <c r="E27" s="54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43" x14ac:dyDescent="0.25">
      <c r="A28" s="39"/>
      <c r="B28" s="47" t="s">
        <v>84</v>
      </c>
      <c r="C28" s="45" t="s">
        <v>53</v>
      </c>
      <c r="D28" s="57" t="s">
        <v>66</v>
      </c>
      <c r="E28" s="46" t="s">
        <v>104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 ht="30" x14ac:dyDescent="0.25">
      <c r="A29" s="39"/>
      <c r="B29" s="47" t="s">
        <v>103</v>
      </c>
      <c r="C29" s="45" t="s">
        <v>55</v>
      </c>
      <c r="D29" s="57" t="s">
        <v>66</v>
      </c>
      <c r="E29" s="46" t="s">
        <v>105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</row>
    <row r="30" spans="1:43" ht="45" x14ac:dyDescent="0.25">
      <c r="A30" s="39"/>
      <c r="B30" s="47" t="s">
        <v>85</v>
      </c>
      <c r="C30" s="45" t="s">
        <v>54</v>
      </c>
      <c r="D30" s="57" t="s">
        <v>66</v>
      </c>
      <c r="E30" s="46" t="s">
        <v>106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</row>
    <row r="31" spans="1:43" hidden="1" x14ac:dyDescent="0.25">
      <c r="A31" s="39"/>
      <c r="B31" s="47"/>
      <c r="C31" s="45"/>
      <c r="D31" s="57"/>
      <c r="E31" s="48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</row>
    <row r="32" spans="1:43" hidden="1" x14ac:dyDescent="0.25">
      <c r="A32" s="39"/>
      <c r="B32" s="47"/>
      <c r="C32" s="45"/>
      <c r="D32" s="57"/>
      <c r="E32" s="48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</row>
    <row r="33" spans="1:43" hidden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</row>
    <row r="34" spans="1:43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</row>
    <row r="35" spans="1:43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</row>
    <row r="36" spans="1:43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</row>
    <row r="37" spans="1:43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</row>
    <row r="38" spans="1:43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1:43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</row>
    <row r="40" spans="1:43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</row>
    <row r="41" spans="1:43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1:43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</row>
    <row r="43" spans="1:43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</row>
    <row r="44" spans="1:43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1:43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1:43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1:43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1:43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spans="1:43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</row>
    <row r="50" spans="1:43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1:43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1:43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1:43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1:43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1:43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</row>
    <row r="56" spans="1:43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1:43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1:43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1:43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1:43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</row>
    <row r="61" spans="1:43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</row>
    <row r="62" spans="1:43" x14ac:dyDescent="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</row>
    <row r="63" spans="1:43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</row>
    <row r="64" spans="1:43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</row>
    <row r="65" spans="1:43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66" spans="1:43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</row>
    <row r="67" spans="1:43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</row>
    <row r="68" spans="1:43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</row>
    <row r="69" spans="1:43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</row>
    <row r="70" spans="1:43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</row>
    <row r="71" spans="1:43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</row>
    <row r="72" spans="1:43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</row>
    <row r="73" spans="1:43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</row>
    <row r="74" spans="1:43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1:43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1:43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7" spans="1:43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</row>
    <row r="78" spans="1:43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1:43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1:43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1:43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2" spans="1:43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</row>
    <row r="83" spans="1:43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</row>
    <row r="84" spans="1:43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</row>
    <row r="85" spans="1:43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</row>
    <row r="86" spans="1:43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</row>
    <row r="87" spans="1:43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</row>
    <row r="88" spans="1:43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</row>
    <row r="89" spans="1:43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</row>
    <row r="90" spans="1:43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</row>
    <row r="91" spans="1:43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</row>
    <row r="92" spans="1:43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</row>
    <row r="93" spans="1:43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</row>
    <row r="94" spans="1:43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</row>
    <row r="95" spans="1:43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</row>
    <row r="96" spans="1:43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</row>
    <row r="97" spans="1:43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</row>
    <row r="98" spans="1:43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</row>
    <row r="99" spans="1:43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</row>
    <row r="100" spans="1:43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</row>
    <row r="101" spans="1:43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</row>
    <row r="102" spans="1:43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</row>
    <row r="103" spans="1:43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</row>
    <row r="104" spans="1:43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</row>
    <row r="105" spans="1:43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</row>
    <row r="106" spans="1:43" x14ac:dyDescent="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</row>
    <row r="107" spans="1:43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</row>
    <row r="108" spans="1:43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</row>
    <row r="109" spans="1:43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</row>
    <row r="110" spans="1:43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</row>
    <row r="111" spans="1:43" x14ac:dyDescent="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</row>
    <row r="112" spans="1:43" x14ac:dyDescent="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</row>
    <row r="113" spans="1:43" x14ac:dyDescent="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</row>
    <row r="114" spans="1:43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</row>
    <row r="115" spans="1:43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</row>
    <row r="116" spans="1:43" x14ac:dyDescent="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</row>
    <row r="117" spans="1:43" x14ac:dyDescent="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</row>
    <row r="118" spans="1:43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</row>
    <row r="119" spans="1:43" x14ac:dyDescent="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</row>
    <row r="120" spans="1:43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</row>
    <row r="121" spans="1:43" x14ac:dyDescent="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</row>
    <row r="122" spans="1:43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</row>
    <row r="123" spans="1:43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</row>
    <row r="124" spans="1:43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</row>
    <row r="125" spans="1:43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</row>
    <row r="126" spans="1:43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</row>
    <row r="127" spans="1:43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</row>
    <row r="128" spans="1:43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</row>
    <row r="129" spans="1:43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</row>
    <row r="130" spans="1:43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</row>
    <row r="131" spans="1:43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</row>
    <row r="132" spans="1:43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</row>
    <row r="133" spans="1:43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</row>
    <row r="134" spans="1:43" x14ac:dyDescent="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</row>
    <row r="135" spans="1:43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</row>
    <row r="136" spans="1:43" x14ac:dyDescent="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</row>
    <row r="137" spans="1:43" x14ac:dyDescent="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</row>
    <row r="138" spans="1:43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</row>
    <row r="139" spans="1:43" x14ac:dyDescent="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</row>
    <row r="140" spans="1:43" x14ac:dyDescent="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</row>
    <row r="141" spans="1:43" x14ac:dyDescent="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</row>
    <row r="142" spans="1:43" x14ac:dyDescent="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</row>
    <row r="143" spans="1:43" x14ac:dyDescent="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</row>
    <row r="144" spans="1:43" x14ac:dyDescent="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</row>
    <row r="145" spans="1:43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</row>
    <row r="146" spans="1:43" x14ac:dyDescent="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</row>
    <row r="147" spans="1:43" x14ac:dyDescent="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</row>
    <row r="148" spans="1:43" x14ac:dyDescent="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</row>
    <row r="149" spans="1:43" x14ac:dyDescent="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</row>
    <row r="150" spans="1:43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</row>
    <row r="151" spans="1:43" x14ac:dyDescent="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</row>
    <row r="152" spans="1:43" x14ac:dyDescent="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</row>
    <row r="153" spans="1:43" x14ac:dyDescent="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</row>
    <row r="154" spans="1:43" x14ac:dyDescent="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</row>
    <row r="155" spans="1:43" x14ac:dyDescent="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</row>
    <row r="156" spans="1:43" x14ac:dyDescent="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</row>
    <row r="157" spans="1:43" x14ac:dyDescent="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</row>
    <row r="158" spans="1:43" x14ac:dyDescent="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</row>
    <row r="159" spans="1:43" x14ac:dyDescent="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</row>
    <row r="160" spans="1:43" x14ac:dyDescent="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</row>
    <row r="161" spans="1:17" x14ac:dyDescent="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</row>
    <row r="162" spans="1:17" x14ac:dyDescent="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</row>
    <row r="163" spans="1:17" x14ac:dyDescent="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</row>
    <row r="164" spans="1:17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</row>
    <row r="165" spans="1:17" x14ac:dyDescent="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</row>
    <row r="166" spans="1:17" x14ac:dyDescent="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</row>
    <row r="167" spans="1:17" x14ac:dyDescent="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</row>
    <row r="168" spans="1:17" x14ac:dyDescent="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</row>
    <row r="169" spans="1:17" x14ac:dyDescent="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</row>
    <row r="170" spans="1:17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</row>
    <row r="171" spans="1:17" x14ac:dyDescent="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</row>
    <row r="172" spans="1:17" x14ac:dyDescent="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</row>
    <row r="173" spans="1:17" x14ac:dyDescent="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</row>
    <row r="174" spans="1:17" x14ac:dyDescent="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</row>
    <row r="175" spans="1:17" x14ac:dyDescent="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</row>
    <row r="176" spans="1:17" x14ac:dyDescent="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</row>
    <row r="177" spans="1:17" x14ac:dyDescent="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</row>
    <row r="178" spans="1:17" x14ac:dyDescent="0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</row>
    <row r="179" spans="1:17" x14ac:dyDescent="0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</row>
    <row r="180" spans="1:17" x14ac:dyDescent="0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</row>
    <row r="181" spans="1:17" x14ac:dyDescent="0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</row>
    <row r="182" spans="1:17" x14ac:dyDescent="0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</row>
    <row r="183" spans="1:17" x14ac:dyDescent="0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</row>
    <row r="184" spans="1:17" x14ac:dyDescent="0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</row>
    <row r="185" spans="1:17" x14ac:dyDescent="0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</row>
    <row r="186" spans="1:17" x14ac:dyDescent="0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</row>
    <row r="187" spans="1:17" x14ac:dyDescent="0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</row>
    <row r="188" spans="1:17" x14ac:dyDescent="0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</row>
    <row r="189" spans="1:17" x14ac:dyDescent="0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</row>
    <row r="190" spans="1:17" x14ac:dyDescent="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</row>
    <row r="191" spans="1:17" x14ac:dyDescent="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</row>
    <row r="192" spans="1:17" x14ac:dyDescent="0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</row>
    <row r="193" spans="1:17" x14ac:dyDescent="0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</row>
    <row r="194" spans="1:17" x14ac:dyDescent="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</row>
    <row r="195" spans="1:17" x14ac:dyDescent="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</row>
    <row r="196" spans="1:17" x14ac:dyDescent="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</row>
    <row r="197" spans="1:17" x14ac:dyDescent="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</row>
    <row r="198" spans="1:17" x14ac:dyDescent="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</row>
    <row r="199" spans="1:17" x14ac:dyDescent="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</row>
    <row r="200" spans="1:17" x14ac:dyDescent="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</row>
    <row r="201" spans="1:17" x14ac:dyDescent="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</row>
    <row r="202" spans="1:17" x14ac:dyDescent="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</row>
    <row r="203" spans="1:17" x14ac:dyDescent="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</row>
    <row r="204" spans="1:17" x14ac:dyDescent="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</row>
    <row r="205" spans="1:17" x14ac:dyDescent="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</row>
    <row r="206" spans="1:17" x14ac:dyDescent="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</row>
    <row r="207" spans="1:17" x14ac:dyDescent="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</row>
    <row r="208" spans="1:17" x14ac:dyDescent="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</row>
    <row r="209" spans="1:17" x14ac:dyDescent="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</row>
    <row r="210" spans="1:17" x14ac:dyDescent="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</row>
    <row r="211" spans="1:17" x14ac:dyDescent="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</row>
    <row r="212" spans="1:17" x14ac:dyDescent="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</row>
    <row r="213" spans="1:17" x14ac:dyDescent="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</row>
    <row r="214" spans="1:17" x14ac:dyDescent="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</row>
    <row r="215" spans="1:17" x14ac:dyDescent="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</row>
    <row r="216" spans="1:17" x14ac:dyDescent="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</row>
    <row r="217" spans="1:17" x14ac:dyDescent="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</row>
    <row r="218" spans="1:17" x14ac:dyDescent="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</row>
    <row r="219" spans="1:17" x14ac:dyDescent="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</row>
    <row r="220" spans="1:17" x14ac:dyDescent="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</row>
    <row r="221" spans="1:17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</row>
    <row r="222" spans="1:17" x14ac:dyDescent="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</row>
    <row r="223" spans="1:17" x14ac:dyDescent="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</row>
    <row r="224" spans="1:17" x14ac:dyDescent="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</row>
    <row r="225" spans="1:17" x14ac:dyDescent="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</row>
    <row r="226" spans="1:17" x14ac:dyDescent="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</row>
    <row r="227" spans="1:17" x14ac:dyDescent="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</row>
    <row r="228" spans="1:17" x14ac:dyDescent="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</row>
    <row r="229" spans="1:17" x14ac:dyDescent="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</row>
    <row r="230" spans="1:17" x14ac:dyDescent="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</row>
    <row r="231" spans="1:17" x14ac:dyDescent="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</row>
    <row r="232" spans="1:17" x14ac:dyDescent="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</row>
    <row r="233" spans="1:17" x14ac:dyDescent="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</row>
    <row r="234" spans="1:17" x14ac:dyDescent="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</row>
    <row r="235" spans="1:17" x14ac:dyDescent="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</row>
    <row r="236" spans="1:17" x14ac:dyDescent="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</row>
    <row r="237" spans="1:17" x14ac:dyDescent="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</row>
    <row r="238" spans="1:17" x14ac:dyDescent="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</row>
    <row r="239" spans="1:17" x14ac:dyDescent="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</row>
    <row r="240" spans="1:17" x14ac:dyDescent="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</row>
    <row r="241" spans="1:17" x14ac:dyDescent="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</row>
    <row r="242" spans="1:17" x14ac:dyDescent="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</row>
    <row r="243" spans="1:17" x14ac:dyDescent="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</row>
    <row r="244" spans="1:17" x14ac:dyDescent="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</row>
    <row r="245" spans="1:17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</row>
    <row r="246" spans="1:17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</row>
    <row r="247" spans="1:17" x14ac:dyDescent="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</row>
    <row r="248" spans="1:17" x14ac:dyDescent="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</row>
    <row r="249" spans="1:17" x14ac:dyDescent="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</row>
    <row r="250" spans="1:17" x14ac:dyDescent="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</row>
    <row r="251" spans="1:17" x14ac:dyDescent="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</row>
    <row r="252" spans="1:17" x14ac:dyDescent="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</row>
    <row r="253" spans="1:17" x14ac:dyDescent="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</row>
    <row r="254" spans="1:17" x14ac:dyDescent="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</row>
    <row r="255" spans="1:17" x14ac:dyDescent="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</row>
    <row r="256" spans="1:17" x14ac:dyDescent="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</row>
    <row r="257" spans="1:17" x14ac:dyDescent="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</row>
    <row r="258" spans="1:17" x14ac:dyDescent="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</row>
    <row r="259" spans="1:17" x14ac:dyDescent="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</row>
    <row r="260" spans="1:17" x14ac:dyDescent="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</row>
    <row r="261" spans="1:17" x14ac:dyDescent="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</row>
    <row r="262" spans="1:17" x14ac:dyDescent="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</row>
    <row r="263" spans="1:17" x14ac:dyDescent="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</row>
    <row r="264" spans="1:17" x14ac:dyDescent="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</row>
    <row r="265" spans="1:17" x14ac:dyDescent="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</row>
    <row r="266" spans="1:17" x14ac:dyDescent="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</row>
    <row r="267" spans="1:17" x14ac:dyDescent="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</row>
    <row r="268" spans="1:17" x14ac:dyDescent="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</row>
    <row r="269" spans="1:17" x14ac:dyDescent="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</row>
    <row r="270" spans="1:17" x14ac:dyDescent="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</row>
    <row r="271" spans="1:17" x14ac:dyDescent="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</row>
    <row r="272" spans="1:17" x14ac:dyDescent="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</row>
    <row r="273" spans="1:17" x14ac:dyDescent="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</row>
    <row r="274" spans="1:17" x14ac:dyDescent="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</row>
    <row r="275" spans="1:17" x14ac:dyDescent="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</row>
    <row r="276" spans="1:17" x14ac:dyDescent="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</row>
    <row r="277" spans="1:17" x14ac:dyDescent="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</row>
    <row r="278" spans="1:17" x14ac:dyDescent="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</row>
    <row r="279" spans="1:17" x14ac:dyDescent="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</row>
    <row r="280" spans="1:17" x14ac:dyDescent="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</row>
    <row r="281" spans="1:17" x14ac:dyDescent="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</row>
    <row r="282" spans="1:17" x14ac:dyDescent="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</row>
    <row r="283" spans="1:17" x14ac:dyDescent="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</row>
    <row r="284" spans="1:17" x14ac:dyDescent="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</row>
    <row r="285" spans="1:17" x14ac:dyDescent="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</row>
    <row r="286" spans="1:17" x14ac:dyDescent="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</row>
    <row r="287" spans="1:17" x14ac:dyDescent="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</row>
    <row r="288" spans="1:17" x14ac:dyDescent="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</row>
    <row r="289" spans="1:17" x14ac:dyDescent="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</row>
    <row r="290" spans="1:17" x14ac:dyDescent="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</row>
    <row r="291" spans="1:17" x14ac:dyDescent="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</row>
    <row r="292" spans="1:17" x14ac:dyDescent="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</row>
    <row r="293" spans="1:17" x14ac:dyDescent="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</row>
    <row r="294" spans="1:17" x14ac:dyDescent="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</row>
    <row r="295" spans="1:17" x14ac:dyDescent="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</row>
    <row r="296" spans="1:17" x14ac:dyDescent="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</row>
    <row r="297" spans="1:17" x14ac:dyDescent="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</row>
    <row r="298" spans="1:17" x14ac:dyDescent="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</row>
    <row r="299" spans="1:17" x14ac:dyDescent="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</row>
    <row r="300" spans="1:17" x14ac:dyDescent="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</row>
    <row r="301" spans="1:17" x14ac:dyDescent="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</row>
    <row r="302" spans="1:17" x14ac:dyDescent="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</row>
    <row r="303" spans="1:17" x14ac:dyDescent="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</row>
    <row r="304" spans="1:17" x14ac:dyDescent="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</row>
    <row r="305" spans="1:17" x14ac:dyDescent="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</row>
    <row r="306" spans="1:17" x14ac:dyDescent="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</row>
    <row r="307" spans="1:17" x14ac:dyDescent="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</row>
    <row r="308" spans="1:17" x14ac:dyDescent="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</row>
    <row r="309" spans="1:17" x14ac:dyDescent="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</row>
    <row r="310" spans="1:17" x14ac:dyDescent="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</row>
    <row r="311" spans="1:17" x14ac:dyDescent="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</row>
    <row r="312" spans="1:17" x14ac:dyDescent="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</row>
    <row r="313" spans="1:17" x14ac:dyDescent="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</row>
    <row r="314" spans="1:17" x14ac:dyDescent="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</row>
    <row r="315" spans="1:17" x14ac:dyDescent="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</row>
    <row r="316" spans="1:17" x14ac:dyDescent="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</row>
    <row r="317" spans="1:17" x14ac:dyDescent="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</row>
    <row r="318" spans="1:17" x14ac:dyDescent="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</row>
    <row r="319" spans="1:17" x14ac:dyDescent="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</row>
    <row r="320" spans="1:17" x14ac:dyDescent="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</row>
    <row r="321" spans="1:17" x14ac:dyDescent="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</row>
    <row r="322" spans="1:17" x14ac:dyDescent="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</row>
    <row r="323" spans="1:17" x14ac:dyDescent="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</row>
    <row r="324" spans="1:17" x14ac:dyDescent="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</row>
    <row r="325" spans="1:17" x14ac:dyDescent="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</row>
    <row r="326" spans="1:17" x14ac:dyDescent="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</row>
    <row r="327" spans="1:17" x14ac:dyDescent="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</row>
    <row r="328" spans="1:17" x14ac:dyDescent="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</row>
    <row r="329" spans="1:17" x14ac:dyDescent="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</row>
    <row r="330" spans="1:17" x14ac:dyDescent="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</row>
    <row r="331" spans="1:17" x14ac:dyDescent="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</row>
    <row r="332" spans="1:17" x14ac:dyDescent="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</row>
    <row r="333" spans="1:17" x14ac:dyDescent="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</row>
    <row r="334" spans="1:17" x14ac:dyDescent="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</row>
    <row r="335" spans="1:17" x14ac:dyDescent="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</row>
    <row r="336" spans="1:17" x14ac:dyDescent="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</row>
    <row r="337" spans="1:17" x14ac:dyDescent="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</row>
    <row r="338" spans="1:17" x14ac:dyDescent="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</row>
    <row r="339" spans="1:17" x14ac:dyDescent="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</row>
    <row r="340" spans="1:17" x14ac:dyDescent="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</row>
    <row r="341" spans="1:17" x14ac:dyDescent="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</row>
    <row r="342" spans="1:17" x14ac:dyDescent="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</row>
    <row r="343" spans="1:17" x14ac:dyDescent="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</row>
    <row r="344" spans="1:17" x14ac:dyDescent="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</row>
    <row r="345" spans="1:17" x14ac:dyDescent="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</row>
    <row r="346" spans="1:17" x14ac:dyDescent="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</row>
    <row r="347" spans="1:17" x14ac:dyDescent="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</row>
    <row r="348" spans="1:17" x14ac:dyDescent="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</row>
    <row r="349" spans="1:17" x14ac:dyDescent="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</row>
    <row r="350" spans="1:17" x14ac:dyDescent="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</row>
    <row r="351" spans="1:17" x14ac:dyDescent="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</row>
    <row r="352" spans="1:17" x14ac:dyDescent="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</row>
    <row r="353" spans="1:17" x14ac:dyDescent="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</row>
    <row r="354" spans="1:17" x14ac:dyDescent="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</row>
    <row r="355" spans="1:17" x14ac:dyDescent="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</row>
    <row r="356" spans="1:17" x14ac:dyDescent="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</row>
    <row r="357" spans="1:17" x14ac:dyDescent="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</row>
    <row r="358" spans="1:17" x14ac:dyDescent="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</row>
    <row r="359" spans="1:17" x14ac:dyDescent="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</row>
    <row r="360" spans="1:17" x14ac:dyDescent="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</row>
    <row r="361" spans="1:17" x14ac:dyDescent="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</row>
    <row r="362" spans="1:17" x14ac:dyDescent="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</row>
    <row r="363" spans="1:17" x14ac:dyDescent="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</row>
    <row r="364" spans="1:17" x14ac:dyDescent="0.25">
      <c r="B364" s="39"/>
      <c r="C364" s="39"/>
      <c r="D364" s="39"/>
      <c r="E364" s="39"/>
    </row>
    <row r="365" spans="1:17" x14ac:dyDescent="0.25">
      <c r="B365" s="39"/>
      <c r="C365" s="39"/>
      <c r="D365" s="39"/>
      <c r="E365" s="39"/>
    </row>
    <row r="366" spans="1:17" x14ac:dyDescent="0.25">
      <c r="B366" s="39"/>
      <c r="C366" s="39"/>
      <c r="D366" s="39"/>
      <c r="E366" s="39"/>
    </row>
    <row r="367" spans="1:17" x14ac:dyDescent="0.25">
      <c r="B367" s="39"/>
      <c r="C367" s="39"/>
      <c r="D367" s="39"/>
      <c r="E367" s="39"/>
    </row>
    <row r="368" spans="1:17" x14ac:dyDescent="0.25">
      <c r="B368" s="39"/>
      <c r="C368" s="39"/>
      <c r="D368" s="39"/>
      <c r="E368" s="39"/>
    </row>
    <row r="369" spans="2:5" x14ac:dyDescent="0.25">
      <c r="B369" s="39"/>
      <c r="C369" s="39"/>
      <c r="D369" s="39"/>
      <c r="E369" s="39"/>
    </row>
    <row r="370" spans="2:5" x14ac:dyDescent="0.25">
      <c r="B370" s="39"/>
      <c r="C370" s="39"/>
      <c r="D370" s="39"/>
      <c r="E370" s="39"/>
    </row>
    <row r="371" spans="2:5" x14ac:dyDescent="0.25">
      <c r="B371" s="39"/>
      <c r="C371" s="39"/>
      <c r="D371" s="39"/>
      <c r="E371" s="39"/>
    </row>
    <row r="372" spans="2:5" x14ac:dyDescent="0.25">
      <c r="B372" s="39"/>
      <c r="C372" s="39"/>
      <c r="D372" s="39"/>
      <c r="E372" s="39"/>
    </row>
    <row r="373" spans="2:5" x14ac:dyDescent="0.25">
      <c r="B373" s="39"/>
      <c r="C373" s="39"/>
      <c r="D373" s="39"/>
      <c r="E373" s="39"/>
    </row>
    <row r="374" spans="2:5" x14ac:dyDescent="0.25">
      <c r="B374" s="39"/>
      <c r="C374" s="39"/>
      <c r="D374" s="39"/>
      <c r="E374" s="39"/>
    </row>
    <row r="375" spans="2:5" x14ac:dyDescent="0.25">
      <c r="B375" s="39"/>
      <c r="C375" s="39"/>
      <c r="D375" s="39"/>
      <c r="E375" s="39"/>
    </row>
    <row r="376" spans="2:5" x14ac:dyDescent="0.25">
      <c r="B376" s="39"/>
      <c r="C376" s="39"/>
      <c r="D376" s="39"/>
      <c r="E376" s="39"/>
    </row>
    <row r="377" spans="2:5" x14ac:dyDescent="0.25">
      <c r="B377" s="39"/>
      <c r="C377" s="39"/>
      <c r="D377" s="39"/>
      <c r="E377" s="39"/>
    </row>
  </sheetData>
  <mergeCells count="2">
    <mergeCell ref="B2:E2"/>
    <mergeCell ref="B19:E19"/>
  </mergeCells>
  <dataValidations count="5">
    <dataValidation type="list" allowBlank="1" showInputMessage="1" showErrorMessage="1" sqref="C13:C16 C6:C9" xr:uid="{C7F91385-2FA3-4F5A-9E35-557D7D174CD9}">
      <formula1>"Significant Strength, Strength, Weakness, Significan Weakness "</formula1>
    </dataValidation>
    <dataValidation type="list" allowBlank="1" showInputMessage="1" showErrorMessage="1" sqref="C5 C12" xr:uid="{51401051-9CEE-48C7-86FF-4E49801C7394}">
      <formula1>"Significant Strength, Strength, Weakness, Significant Weakness "</formula1>
    </dataValidation>
    <dataValidation type="list" allowBlank="1" showInputMessage="1" showErrorMessage="1" sqref="D12:D16 D5:D9" xr:uid="{02F03286-48EF-402C-8CC1-70D0352225D6}">
      <formula1>"Never/Rarely, Occasionally, Sometimes, Often, Always/Almost Always"</formula1>
    </dataValidation>
    <dataValidation type="list" allowBlank="1" showInputMessage="1" showErrorMessage="1" sqref="D28:D32 D22:D26" xr:uid="{9E0DD8C0-CC87-4415-895E-4414517A285F}">
      <formula1>"Major, Moderate, Minor, Insignificant"</formula1>
    </dataValidation>
    <dataValidation type="list" allowBlank="1" showInputMessage="1" showErrorMessage="1" sqref="C28:C32 C22:C26" xr:uid="{BAA12992-C457-4117-994A-4987B62E417F}">
      <formula1>"Very Likely, Likely, Possible, Unlikely, Very Unlikely"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4985-8669-466D-9F5B-09954B057022}">
  <sheetPr>
    <tabColor rgb="FFFFC000"/>
  </sheetPr>
  <dimension ref="A1:R42"/>
  <sheetViews>
    <sheetView zoomScale="120" zoomScaleNormal="120" workbookViewId="0">
      <selection activeCell="E17" sqref="E17:F17"/>
    </sheetView>
  </sheetViews>
  <sheetFormatPr defaultColWidth="9.140625" defaultRowHeight="15" x14ac:dyDescent="0.25"/>
  <cols>
    <col min="1" max="1" width="3.42578125" style="40" customWidth="1"/>
    <col min="2" max="2" width="39.140625" style="40" customWidth="1"/>
    <col min="3" max="3" width="3" style="40" customWidth="1"/>
    <col min="4" max="4" width="37.85546875" style="40" customWidth="1"/>
    <col min="5" max="5" width="3.140625" style="40" customWidth="1"/>
    <col min="6" max="6" width="41.85546875" style="40" customWidth="1"/>
    <col min="7" max="16384" width="9.140625" style="40"/>
  </cols>
  <sheetData>
    <row r="1" spans="1:18" s="39" customFormat="1" x14ac:dyDescent="0.25"/>
    <row r="2" spans="1:18" ht="28.5" customHeight="1" x14ac:dyDescent="0.35">
      <c r="A2" s="108" t="s">
        <v>74</v>
      </c>
      <c r="B2" s="108"/>
      <c r="C2" s="108"/>
      <c r="D2" s="108"/>
      <c r="E2" s="108"/>
      <c r="F2" s="108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x14ac:dyDescent="0.25">
      <c r="A3" s="109"/>
      <c r="B3" s="110"/>
      <c r="C3" s="59"/>
      <c r="D3" s="60" t="s">
        <v>47</v>
      </c>
      <c r="E3" s="61"/>
      <c r="F3" s="62" t="s">
        <v>48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x14ac:dyDescent="0.25">
      <c r="A4" s="111"/>
      <c r="B4" s="112"/>
      <c r="C4" s="63" t="s">
        <v>56</v>
      </c>
      <c r="D4" s="64" t="str">
        <f>'Example SWOT Inputs'!B5</f>
        <v>Safety</v>
      </c>
      <c r="E4" s="63" t="s">
        <v>56</v>
      </c>
      <c r="F4" s="65" t="str">
        <f>'Example SWOT Inputs'!B12</f>
        <v>Training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x14ac:dyDescent="0.25">
      <c r="A5" s="111"/>
      <c r="B5" s="112"/>
      <c r="C5" s="63" t="s">
        <v>57</v>
      </c>
      <c r="D5" s="64" t="str">
        <f>'Example SWOT Inputs'!B6</f>
        <v>Teamwork</v>
      </c>
      <c r="E5" s="63" t="s">
        <v>57</v>
      </c>
      <c r="F5" s="65" t="str">
        <f>'Example SWOT Inputs'!B13</f>
        <v>Invoicing Issues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x14ac:dyDescent="0.25">
      <c r="A6" s="111"/>
      <c r="B6" s="112"/>
      <c r="C6" s="63" t="s">
        <v>58</v>
      </c>
      <c r="D6" s="64" t="str">
        <f>'Example SWOT Inputs'!B7</f>
        <v>Interdepartmental communication</v>
      </c>
      <c r="E6" s="63" t="s">
        <v>58</v>
      </c>
      <c r="F6" s="65" t="str">
        <f>'Example SWOT Inputs'!B14</f>
        <v>Customer Service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</row>
    <row r="7" spans="1:18" x14ac:dyDescent="0.25">
      <c r="A7" s="111"/>
      <c r="B7" s="112"/>
      <c r="C7" s="63" t="s">
        <v>59</v>
      </c>
      <c r="D7" s="64" t="str">
        <f>'Example SWOT Inputs'!B8</f>
        <v>Leadership</v>
      </c>
      <c r="E7" s="63" t="s">
        <v>59</v>
      </c>
      <c r="F7" s="65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1:18" x14ac:dyDescent="0.25">
      <c r="A8" s="113"/>
      <c r="B8" s="114"/>
      <c r="C8" s="66" t="s">
        <v>60</v>
      </c>
      <c r="D8" s="64"/>
      <c r="E8" s="66" t="s">
        <v>60</v>
      </c>
      <c r="F8" s="65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</row>
    <row r="9" spans="1:18" x14ac:dyDescent="0.25">
      <c r="A9" s="119" t="s">
        <v>63</v>
      </c>
      <c r="B9" s="120"/>
      <c r="C9" s="115" t="s">
        <v>61</v>
      </c>
      <c r="D9" s="116"/>
      <c r="E9" s="115" t="s">
        <v>62</v>
      </c>
      <c r="F9" s="116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</row>
    <row r="10" spans="1:18" ht="25.5" customHeight="1" x14ac:dyDescent="0.25">
      <c r="A10" s="121"/>
      <c r="B10" s="122"/>
      <c r="C10" s="106" t="s">
        <v>67</v>
      </c>
      <c r="D10" s="107"/>
      <c r="E10" s="106" t="s">
        <v>68</v>
      </c>
      <c r="F10" s="107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 spans="1:18" ht="60" x14ac:dyDescent="0.25">
      <c r="A11" s="67" t="s">
        <v>56</v>
      </c>
      <c r="B11" s="31" t="str">
        <f>'Example SWOT Inputs'!B22</f>
        <v>Bio-Bor injectors on trucks</v>
      </c>
      <c r="C11" s="68" t="s">
        <v>56</v>
      </c>
      <c r="D11" s="69" t="s">
        <v>86</v>
      </c>
      <c r="E11" s="70" t="s">
        <v>56</v>
      </c>
      <c r="F11" s="71" t="s">
        <v>88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</row>
    <row r="12" spans="1:18" x14ac:dyDescent="0.25">
      <c r="A12" s="67" t="s">
        <v>57</v>
      </c>
      <c r="B12" s="32" t="str">
        <f>'Example SWOT Inputs'!B23</f>
        <v>Loyalty card/program</v>
      </c>
      <c r="C12" s="70" t="s">
        <v>57</v>
      </c>
      <c r="D12" s="71"/>
      <c r="E12" s="70" t="s">
        <v>57</v>
      </c>
      <c r="F12" s="71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</row>
    <row r="13" spans="1:18" ht="15" customHeight="1" x14ac:dyDescent="0.25">
      <c r="A13" s="67" t="s">
        <v>58</v>
      </c>
      <c r="B13" s="32" t="str">
        <f>'Example SWOT Inputs'!B24</f>
        <v>Customer feedback</v>
      </c>
      <c r="C13" s="70" t="s">
        <v>58</v>
      </c>
      <c r="D13" s="71"/>
      <c r="E13" s="70" t="s">
        <v>58</v>
      </c>
      <c r="F13" s="71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18" x14ac:dyDescent="0.25">
      <c r="A14" s="67" t="s">
        <v>59</v>
      </c>
      <c r="B14" s="32"/>
      <c r="C14" s="70" t="s">
        <v>59</v>
      </c>
      <c r="D14" s="71"/>
      <c r="E14" s="70" t="s">
        <v>59</v>
      </c>
      <c r="F14" s="71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</row>
    <row r="15" spans="1:18" x14ac:dyDescent="0.25">
      <c r="A15" s="72" t="s">
        <v>60</v>
      </c>
      <c r="B15" s="32"/>
      <c r="C15" s="73" t="s">
        <v>60</v>
      </c>
      <c r="D15" s="74"/>
      <c r="E15" s="73" t="s">
        <v>60</v>
      </c>
      <c r="F15" s="74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</row>
    <row r="16" spans="1:18" ht="15" customHeight="1" x14ac:dyDescent="0.25">
      <c r="A16" s="119" t="s">
        <v>52</v>
      </c>
      <c r="B16" s="120"/>
      <c r="C16" s="115" t="s">
        <v>64</v>
      </c>
      <c r="D16" s="116"/>
      <c r="E16" s="117" t="s">
        <v>65</v>
      </c>
      <c r="F16" s="11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</row>
    <row r="17" spans="1:18" ht="15" customHeight="1" x14ac:dyDescent="0.25">
      <c r="A17" s="121"/>
      <c r="B17" s="122"/>
      <c r="C17" s="106" t="s">
        <v>69</v>
      </c>
      <c r="D17" s="107"/>
      <c r="E17" s="106" t="s">
        <v>70</v>
      </c>
      <c r="F17" s="107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</row>
    <row r="18" spans="1:18" ht="60" x14ac:dyDescent="0.25">
      <c r="A18" s="63" t="s">
        <v>56</v>
      </c>
      <c r="B18" s="75" t="str">
        <f>'Example SWOT Inputs'!B28</f>
        <v>Oil price volatility</v>
      </c>
      <c r="C18" s="70" t="s">
        <v>56</v>
      </c>
      <c r="D18" s="71" t="s">
        <v>110</v>
      </c>
      <c r="E18" s="70" t="s">
        <v>56</v>
      </c>
      <c r="F18" s="71" t="s">
        <v>87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spans="1:18" x14ac:dyDescent="0.25">
      <c r="A19" s="63" t="s">
        <v>57</v>
      </c>
      <c r="B19" s="75" t="str">
        <f>'Example SWOT Inputs'!B29</f>
        <v>Production shop performance</v>
      </c>
      <c r="C19" s="70" t="s">
        <v>57</v>
      </c>
      <c r="D19" s="71"/>
      <c r="E19" s="70" t="s">
        <v>57</v>
      </c>
      <c r="F19" s="71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spans="1:18" ht="15" customHeight="1" x14ac:dyDescent="0.25">
      <c r="A20" s="63" t="s">
        <v>58</v>
      </c>
      <c r="B20" s="75" t="str">
        <f>'Example SWOT Inputs'!B30</f>
        <v>Employee turnover</v>
      </c>
      <c r="C20" s="70" t="s">
        <v>58</v>
      </c>
      <c r="D20" s="71"/>
      <c r="E20" s="70" t="s">
        <v>58</v>
      </c>
      <c r="F20" s="71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spans="1:18" x14ac:dyDescent="0.25">
      <c r="A21" s="63" t="s">
        <v>59</v>
      </c>
      <c r="B21" s="75"/>
      <c r="C21" s="70" t="s">
        <v>59</v>
      </c>
      <c r="D21" s="71"/>
      <c r="E21" s="70" t="s">
        <v>59</v>
      </c>
      <c r="F21" s="71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spans="1:18" x14ac:dyDescent="0.25">
      <c r="A22" s="66" t="s">
        <v>60</v>
      </c>
      <c r="B22" s="76"/>
      <c r="C22" s="73" t="s">
        <v>60</v>
      </c>
      <c r="D22" s="74"/>
      <c r="E22" s="73" t="s">
        <v>60</v>
      </c>
      <c r="F22" s="74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spans="1:18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spans="1:18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spans="1:18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1:18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1:18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1:18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</row>
    <row r="35" spans="1:18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spans="1:18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spans="1:18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spans="1:18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spans="1:18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</row>
  </sheetData>
  <mergeCells count="12">
    <mergeCell ref="C17:D17"/>
    <mergeCell ref="E17:F17"/>
    <mergeCell ref="A2:F2"/>
    <mergeCell ref="A3:B8"/>
    <mergeCell ref="C9:D9"/>
    <mergeCell ref="E9:F9"/>
    <mergeCell ref="C16:D16"/>
    <mergeCell ref="E16:F16"/>
    <mergeCell ref="A9:B10"/>
    <mergeCell ref="C10:D10"/>
    <mergeCell ref="E10:F10"/>
    <mergeCell ref="A16:B17"/>
  </mergeCells>
  <pageMargins left="0.7" right="0.7" top="0.75" bottom="0.75" header="0.3" footer="0.3"/>
  <pageSetup orientation="portrait" r:id="rId1"/>
  <ignoredErrors>
    <ignoredError sqref="E4:E8 C4:C8 E11:E15 E18:E22 C18:C22 A18:A22 A11:A15 C11:C15" numberStoredAsText="1"/>
    <ignoredError sqref="B11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7"/>
  <sheetViews>
    <sheetView view="pageLayout" zoomScale="90" zoomScaleNormal="100" zoomScalePageLayoutView="90" workbookViewId="0">
      <selection activeCell="B2" sqref="B2"/>
    </sheetView>
  </sheetViews>
  <sheetFormatPr defaultRowHeight="15" x14ac:dyDescent="0.25"/>
  <cols>
    <col min="2" max="2" width="13.42578125" customWidth="1"/>
    <col min="3" max="7" width="17.7109375" customWidth="1"/>
  </cols>
  <sheetData>
    <row r="1" spans="2:7" ht="17.25" x14ac:dyDescent="0.25">
      <c r="C1" s="1" t="s">
        <v>29</v>
      </c>
      <c r="D1" s="1" t="s">
        <v>28</v>
      </c>
      <c r="E1" s="1" t="s">
        <v>30</v>
      </c>
      <c r="F1" s="1" t="s">
        <v>31</v>
      </c>
      <c r="G1" s="1" t="s">
        <v>32</v>
      </c>
    </row>
    <row r="2" spans="2:7" ht="71.25" customHeight="1" x14ac:dyDescent="0.25">
      <c r="B2" s="2" t="s">
        <v>37</v>
      </c>
      <c r="C2" s="3" t="s">
        <v>27</v>
      </c>
      <c r="D2" s="3" t="s">
        <v>26</v>
      </c>
      <c r="E2" s="3" t="s">
        <v>25</v>
      </c>
      <c r="F2" s="3" t="s">
        <v>24</v>
      </c>
      <c r="G2" s="3" t="s">
        <v>23</v>
      </c>
    </row>
    <row r="3" spans="2:7" ht="73.5" customHeight="1" x14ac:dyDescent="0.25">
      <c r="B3" s="2" t="s">
        <v>1</v>
      </c>
      <c r="C3" s="3" t="s">
        <v>38</v>
      </c>
      <c r="D3" s="3" t="s">
        <v>39</v>
      </c>
      <c r="E3" s="3" t="s">
        <v>40</v>
      </c>
      <c r="F3" s="3" t="s">
        <v>14</v>
      </c>
      <c r="G3" s="3" t="s">
        <v>41</v>
      </c>
    </row>
    <row r="4" spans="2:7" ht="91.5" customHeight="1" x14ac:dyDescent="0.25">
      <c r="B4" s="2" t="s">
        <v>2</v>
      </c>
      <c r="C4" s="3" t="s">
        <v>5</v>
      </c>
      <c r="D4" s="3" t="s">
        <v>8</v>
      </c>
      <c r="E4" s="3" t="s">
        <v>10</v>
      </c>
      <c r="F4" s="3" t="s">
        <v>12</v>
      </c>
      <c r="G4" s="3" t="s">
        <v>15</v>
      </c>
    </row>
    <row r="5" spans="2:7" ht="104.25" customHeight="1" x14ac:dyDescent="0.25">
      <c r="B5" s="2" t="s">
        <v>3</v>
      </c>
      <c r="C5" s="3" t="s">
        <v>6</v>
      </c>
      <c r="D5" s="3" t="s">
        <v>33</v>
      </c>
      <c r="E5" s="3" t="s">
        <v>34</v>
      </c>
      <c r="F5" s="3" t="s">
        <v>35</v>
      </c>
      <c r="G5" s="3" t="s">
        <v>36</v>
      </c>
    </row>
    <row r="6" spans="2:7" ht="61.5" customHeight="1" x14ac:dyDescent="0.25">
      <c r="B6" s="2" t="s">
        <v>22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17</v>
      </c>
    </row>
    <row r="7" spans="2:7" ht="64.5" customHeight="1" x14ac:dyDescent="0.25">
      <c r="B7" s="2" t="s">
        <v>4</v>
      </c>
      <c r="C7" s="3" t="s">
        <v>7</v>
      </c>
      <c r="D7" s="3" t="s">
        <v>9</v>
      </c>
      <c r="E7" s="3" t="s">
        <v>11</v>
      </c>
      <c r="F7" s="3" t="s">
        <v>13</v>
      </c>
      <c r="G7" s="3" t="s">
        <v>16</v>
      </c>
    </row>
  </sheetData>
  <sheetProtection selectLockedCells="1"/>
  <pageMargins left="0.7" right="0.7" top="0.75" bottom="0.75" header="0.3" footer="0.3"/>
  <pageSetup orientation="landscape" horizontalDpi="4294967293" r:id="rId1"/>
  <headerFooter>
    <oddHeader>&amp;C&amp;14Interactive Risk Matrix</oddHeader>
    <oddFooter>&amp;LQuality Dept.&amp;CSMS010-01
6/27/19&amp;RPage 2 of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SWOT Inputs</vt:lpstr>
      <vt:lpstr>SWOT Matrix</vt:lpstr>
      <vt:lpstr>Example SWOT Inputs</vt:lpstr>
      <vt:lpstr>Example SWOT Matrix</vt:lpstr>
      <vt:lpstr>Severity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Edduyn Pita</cp:lastModifiedBy>
  <cp:lastPrinted>2022-09-29T12:22:47Z</cp:lastPrinted>
  <dcterms:created xsi:type="dcterms:W3CDTF">2019-05-22T13:15:58Z</dcterms:created>
  <dcterms:modified xsi:type="dcterms:W3CDTF">2024-11-26T23:44:12Z</dcterms:modified>
</cp:coreProperties>
</file>