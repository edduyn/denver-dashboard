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H:\Documents\Zitek's Days To Bill\"/>
    </mc:Choice>
  </mc:AlternateContent>
  <xr:revisionPtr revIDLastSave="0" documentId="13_ncr:1_{EC1CA947-7047-43BB-9E21-3FE8BB30B0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2" r:id="rId1"/>
    <sheet name="Jan" sheetId="1" r:id="rId2"/>
    <sheet name="Feb" sheetId="14" r:id="rId3"/>
    <sheet name="Mar" sheetId="3" r:id="rId4"/>
    <sheet name="Apr" sheetId="4" r:id="rId5"/>
    <sheet name="May" sheetId="5" r:id="rId6"/>
    <sheet name="Jun" sheetId="6" r:id="rId7"/>
    <sheet name="Jul" sheetId="7" r:id="rId8"/>
    <sheet name="Aug" sheetId="8" r:id="rId9"/>
    <sheet name="Sep" sheetId="9" r:id="rId10"/>
    <sheet name="Oct" sheetId="10" r:id="rId11"/>
    <sheet name="Nov" sheetId="11" r:id="rId12"/>
    <sheet name="Dec" sheetId="12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4" i="2" l="1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F58" i="12"/>
  <c r="F62" i="12"/>
  <c r="F58" i="11"/>
  <c r="C65" i="11"/>
  <c r="F62" i="11"/>
  <c r="F5" i="11"/>
  <c r="D7" i="11" s="1"/>
  <c r="F62" i="10"/>
  <c r="C65" i="10"/>
  <c r="F5" i="10"/>
  <c r="D7" i="10" s="1"/>
  <c r="F62" i="9"/>
  <c r="F63" i="8"/>
  <c r="C8" i="8"/>
  <c r="C5" i="8"/>
  <c r="F61" i="7"/>
  <c r="G24" i="2"/>
  <c r="I54" i="6"/>
  <c r="F62" i="6"/>
  <c r="D65" i="11" l="1"/>
  <c r="F5" i="5"/>
  <c r="C7" i="5"/>
  <c r="D7" i="5" s="1"/>
  <c r="F62" i="5" l="1"/>
  <c r="F61" i="3" l="1"/>
  <c r="C64" i="3"/>
  <c r="C24" i="2" l="1"/>
  <c r="F61" i="1" l="1"/>
  <c r="C7" i="1"/>
  <c r="F5" i="1"/>
  <c r="D7" i="1" l="1"/>
  <c r="C7" i="9"/>
  <c r="F5" i="9"/>
  <c r="D7" i="9" l="1"/>
  <c r="F3" i="8"/>
  <c r="D5" i="8" s="1"/>
  <c r="C11" i="5" l="1"/>
  <c r="C15" i="5"/>
  <c r="C19" i="5"/>
  <c r="C22" i="5"/>
  <c r="C26" i="5"/>
  <c r="C29" i="5"/>
  <c r="C33" i="5"/>
  <c r="C36" i="5"/>
  <c r="C41" i="5"/>
  <c r="C47" i="5"/>
  <c r="C50" i="5"/>
  <c r="C54" i="5"/>
  <c r="C57" i="5"/>
  <c r="C61" i="5"/>
  <c r="C65" i="5"/>
  <c r="C68" i="5"/>
  <c r="C73" i="5"/>
  <c r="C76" i="5"/>
  <c r="C79" i="5"/>
  <c r="C56" i="3" l="1"/>
  <c r="I53" i="1" l="1"/>
  <c r="I53" i="12" l="1"/>
  <c r="I53" i="11" l="1"/>
  <c r="I53" i="10" l="1"/>
  <c r="I56" i="9" l="1"/>
  <c r="I24" i="2" l="1"/>
  <c r="I57" i="8"/>
  <c r="M24" i="2" l="1"/>
  <c r="L24" i="2"/>
  <c r="K24" i="2"/>
  <c r="J24" i="2"/>
  <c r="H24" i="2"/>
  <c r="F24" i="2"/>
  <c r="E24" i="2"/>
  <c r="D24" i="2"/>
  <c r="B24" i="2"/>
  <c r="I56" i="7"/>
  <c r="C7" i="6" l="1"/>
  <c r="F5" i="6"/>
  <c r="D7" i="6" l="1"/>
  <c r="I49" i="5"/>
  <c r="I52" i="3" l="1"/>
  <c r="C78" i="3"/>
  <c r="C75" i="3"/>
  <c r="C72" i="3"/>
  <c r="C67" i="3"/>
  <c r="C60" i="3"/>
  <c r="C53" i="3"/>
  <c r="C49" i="3"/>
  <c r="C46" i="3"/>
  <c r="C40" i="3"/>
  <c r="C35" i="3"/>
  <c r="C32" i="3"/>
  <c r="C28" i="3"/>
  <c r="C25" i="3"/>
  <c r="C21" i="3"/>
  <c r="C18" i="3"/>
  <c r="C14" i="3"/>
  <c r="C10" i="3"/>
  <c r="C49" i="4" l="1"/>
  <c r="F16" i="1" l="1"/>
  <c r="C79" i="12"/>
  <c r="F77" i="12"/>
  <c r="D79" i="12" s="1"/>
  <c r="C76" i="12"/>
  <c r="F74" i="12"/>
  <c r="C73" i="12"/>
  <c r="F71" i="12"/>
  <c r="C68" i="12"/>
  <c r="F66" i="12"/>
  <c r="C65" i="12"/>
  <c r="C61" i="12"/>
  <c r="C57" i="12"/>
  <c r="F55" i="12"/>
  <c r="C54" i="12"/>
  <c r="F51" i="12"/>
  <c r="C50" i="12"/>
  <c r="F48" i="12"/>
  <c r="C47" i="12"/>
  <c r="F42" i="12"/>
  <c r="D47" i="12" s="1"/>
  <c r="C41" i="12"/>
  <c r="F37" i="12"/>
  <c r="C36" i="12"/>
  <c r="F34" i="12"/>
  <c r="C33" i="12"/>
  <c r="F30" i="12"/>
  <c r="C29" i="12"/>
  <c r="F27" i="12"/>
  <c r="C26" i="12"/>
  <c r="F23" i="12"/>
  <c r="C22" i="12"/>
  <c r="F20" i="12"/>
  <c r="C19" i="12"/>
  <c r="F16" i="12"/>
  <c r="C15" i="12"/>
  <c r="F12" i="12"/>
  <c r="C11" i="12"/>
  <c r="F8" i="12"/>
  <c r="C79" i="11"/>
  <c r="F77" i="11"/>
  <c r="C76" i="11"/>
  <c r="F74" i="11"/>
  <c r="C73" i="11"/>
  <c r="F71" i="11"/>
  <c r="D73" i="11" s="1"/>
  <c r="C68" i="11"/>
  <c r="F66" i="11"/>
  <c r="C61" i="11"/>
  <c r="C57" i="11"/>
  <c r="F55" i="11"/>
  <c r="D57" i="11" s="1"/>
  <c r="C54" i="11"/>
  <c r="F51" i="11"/>
  <c r="C50" i="11"/>
  <c r="F48" i="11"/>
  <c r="C47" i="11"/>
  <c r="F42" i="11"/>
  <c r="C41" i="11"/>
  <c r="F37" i="11"/>
  <c r="C36" i="11"/>
  <c r="F34" i="11"/>
  <c r="C33" i="11"/>
  <c r="F30" i="11"/>
  <c r="C29" i="11"/>
  <c r="F27" i="11"/>
  <c r="C26" i="11"/>
  <c r="F23" i="11"/>
  <c r="C22" i="11"/>
  <c r="F20" i="11"/>
  <c r="C19" i="11"/>
  <c r="F16" i="11"/>
  <c r="C15" i="11"/>
  <c r="F12" i="11"/>
  <c r="C11" i="11"/>
  <c r="F8" i="11"/>
  <c r="C79" i="10"/>
  <c r="F77" i="10"/>
  <c r="C76" i="10"/>
  <c r="F74" i="10"/>
  <c r="C73" i="10"/>
  <c r="F71" i="10"/>
  <c r="C68" i="10"/>
  <c r="F66" i="10"/>
  <c r="C61" i="10"/>
  <c r="F58" i="10"/>
  <c r="C57" i="10"/>
  <c r="F55" i="10"/>
  <c r="C54" i="10"/>
  <c r="F51" i="10"/>
  <c r="C50" i="10"/>
  <c r="F48" i="10"/>
  <c r="C47" i="10"/>
  <c r="F42" i="10"/>
  <c r="C41" i="10"/>
  <c r="F37" i="10"/>
  <c r="C36" i="10"/>
  <c r="F34" i="10"/>
  <c r="C33" i="10"/>
  <c r="F30" i="10"/>
  <c r="D33" i="10" s="1"/>
  <c r="C29" i="10"/>
  <c r="F27" i="10"/>
  <c r="C26" i="10"/>
  <c r="F23" i="10"/>
  <c r="C22" i="10"/>
  <c r="F20" i="10"/>
  <c r="C19" i="10"/>
  <c r="F16" i="10"/>
  <c r="C15" i="10"/>
  <c r="F12" i="10"/>
  <c r="C11" i="10"/>
  <c r="F8" i="10"/>
  <c r="C79" i="9"/>
  <c r="F77" i="9"/>
  <c r="C76" i="9"/>
  <c r="F74" i="9"/>
  <c r="C73" i="9"/>
  <c r="F71" i="9"/>
  <c r="C68" i="9"/>
  <c r="F66" i="9"/>
  <c r="D68" i="9" s="1"/>
  <c r="C65" i="9"/>
  <c r="C61" i="9"/>
  <c r="F58" i="9"/>
  <c r="C57" i="9"/>
  <c r="F55" i="9"/>
  <c r="C54" i="9"/>
  <c r="F51" i="9"/>
  <c r="C50" i="9"/>
  <c r="F48" i="9"/>
  <c r="C47" i="9"/>
  <c r="F42" i="9"/>
  <c r="C41" i="9"/>
  <c r="F37" i="9"/>
  <c r="C36" i="9"/>
  <c r="F34" i="9"/>
  <c r="C33" i="9"/>
  <c r="F30" i="9"/>
  <c r="C29" i="9"/>
  <c r="F27" i="9"/>
  <c r="C26" i="9"/>
  <c r="F23" i="9"/>
  <c r="C22" i="9"/>
  <c r="F20" i="9"/>
  <c r="C19" i="9"/>
  <c r="F16" i="9"/>
  <c r="D19" i="9" s="1"/>
  <c r="C15" i="9"/>
  <c r="F12" i="9"/>
  <c r="C11" i="9"/>
  <c r="F8" i="9"/>
  <c r="C79" i="8"/>
  <c r="F77" i="8"/>
  <c r="C76" i="8"/>
  <c r="F74" i="8"/>
  <c r="C73" i="8"/>
  <c r="F71" i="8"/>
  <c r="C68" i="8"/>
  <c r="F66" i="8"/>
  <c r="C65" i="8"/>
  <c r="C62" i="8"/>
  <c r="F59" i="8"/>
  <c r="C58" i="8"/>
  <c r="F56" i="8"/>
  <c r="C55" i="8"/>
  <c r="F52" i="8"/>
  <c r="C51" i="8"/>
  <c r="F49" i="8"/>
  <c r="C48" i="8"/>
  <c r="F43" i="8"/>
  <c r="C42" i="8"/>
  <c r="F38" i="8"/>
  <c r="C37" i="8"/>
  <c r="F35" i="8"/>
  <c r="C34" i="8"/>
  <c r="F31" i="8"/>
  <c r="C30" i="8"/>
  <c r="F28" i="8"/>
  <c r="C27" i="8"/>
  <c r="F24" i="8"/>
  <c r="C23" i="8"/>
  <c r="F21" i="8"/>
  <c r="C20" i="8"/>
  <c r="F17" i="8"/>
  <c r="C16" i="8"/>
  <c r="F13" i="8"/>
  <c r="C12" i="8"/>
  <c r="F9" i="8"/>
  <c r="C78" i="7"/>
  <c r="F76" i="7"/>
  <c r="C75" i="7"/>
  <c r="F73" i="7"/>
  <c r="D75" i="7" s="1"/>
  <c r="C72" i="7"/>
  <c r="F70" i="7"/>
  <c r="C67" i="7"/>
  <c r="F65" i="7"/>
  <c r="C64" i="7"/>
  <c r="C60" i="7"/>
  <c r="F57" i="7"/>
  <c r="D60" i="7" s="1"/>
  <c r="C56" i="7"/>
  <c r="F54" i="7"/>
  <c r="C53" i="7"/>
  <c r="F50" i="7"/>
  <c r="C49" i="7"/>
  <c r="F47" i="7"/>
  <c r="C46" i="7"/>
  <c r="F41" i="7"/>
  <c r="C40" i="7"/>
  <c r="F36" i="7"/>
  <c r="C35" i="7"/>
  <c r="F33" i="7"/>
  <c r="C32" i="7"/>
  <c r="F29" i="7"/>
  <c r="C28" i="7"/>
  <c r="F26" i="7"/>
  <c r="C25" i="7"/>
  <c r="F22" i="7"/>
  <c r="C21" i="7"/>
  <c r="F19" i="7"/>
  <c r="C18" i="7"/>
  <c r="F15" i="7"/>
  <c r="C14" i="7"/>
  <c r="F11" i="7"/>
  <c r="C10" i="7"/>
  <c r="F7" i="7"/>
  <c r="C79" i="6"/>
  <c r="F77" i="6"/>
  <c r="C76" i="6"/>
  <c r="F74" i="6"/>
  <c r="C73" i="6"/>
  <c r="F71" i="6"/>
  <c r="C68" i="6"/>
  <c r="F66" i="6"/>
  <c r="C65" i="6"/>
  <c r="C61" i="6"/>
  <c r="F58" i="6"/>
  <c r="C57" i="6"/>
  <c r="F55" i="6"/>
  <c r="C54" i="6"/>
  <c r="F51" i="6"/>
  <c r="C50" i="6"/>
  <c r="F48" i="6"/>
  <c r="C47" i="6"/>
  <c r="F42" i="6"/>
  <c r="C41" i="6"/>
  <c r="F37" i="6"/>
  <c r="C36" i="6"/>
  <c r="F34" i="6"/>
  <c r="C33" i="6"/>
  <c r="F30" i="6"/>
  <c r="C29" i="6"/>
  <c r="F27" i="6"/>
  <c r="D29" i="6" s="1"/>
  <c r="C26" i="6"/>
  <c r="F23" i="6"/>
  <c r="C22" i="6"/>
  <c r="F20" i="6"/>
  <c r="C19" i="6"/>
  <c r="F16" i="6"/>
  <c r="D19" i="6" s="1"/>
  <c r="C15" i="6"/>
  <c r="F12" i="6"/>
  <c r="C11" i="6"/>
  <c r="F8" i="6"/>
  <c r="F77" i="5"/>
  <c r="D79" i="5" s="1"/>
  <c r="F74" i="5"/>
  <c r="D76" i="5" s="1"/>
  <c r="F71" i="5"/>
  <c r="D73" i="5" s="1"/>
  <c r="F66" i="5"/>
  <c r="D68" i="5" s="1"/>
  <c r="D65" i="5"/>
  <c r="F58" i="5"/>
  <c r="D61" i="5" s="1"/>
  <c r="F55" i="5"/>
  <c r="D57" i="5" s="1"/>
  <c r="F51" i="5"/>
  <c r="D54" i="5" s="1"/>
  <c r="F48" i="5"/>
  <c r="D50" i="5" s="1"/>
  <c r="F42" i="5"/>
  <c r="D47" i="5" s="1"/>
  <c r="F37" i="5"/>
  <c r="D41" i="5" s="1"/>
  <c r="F34" i="5"/>
  <c r="D36" i="5" s="1"/>
  <c r="F30" i="5"/>
  <c r="D33" i="5" s="1"/>
  <c r="F27" i="5"/>
  <c r="D29" i="5" s="1"/>
  <c r="F23" i="5"/>
  <c r="D26" i="5" s="1"/>
  <c r="F20" i="5"/>
  <c r="D22" i="5" s="1"/>
  <c r="F16" i="5"/>
  <c r="D19" i="5" s="1"/>
  <c r="F12" i="5"/>
  <c r="D15" i="5" s="1"/>
  <c r="F8" i="5"/>
  <c r="D11" i="5" s="1"/>
  <c r="C77" i="4"/>
  <c r="F75" i="4"/>
  <c r="D77" i="4" s="1"/>
  <c r="C74" i="4"/>
  <c r="F72" i="4"/>
  <c r="C71" i="4"/>
  <c r="F69" i="4"/>
  <c r="D71" i="4" s="1"/>
  <c r="C66" i="4"/>
  <c r="F64" i="4"/>
  <c r="D66" i="4" s="1"/>
  <c r="C63" i="4"/>
  <c r="F61" i="4"/>
  <c r="C60" i="4"/>
  <c r="F57" i="4"/>
  <c r="C56" i="4"/>
  <c r="F54" i="4"/>
  <c r="D56" i="4" s="1"/>
  <c r="C53" i="4"/>
  <c r="F50" i="4"/>
  <c r="F47" i="4"/>
  <c r="C46" i="4"/>
  <c r="F41" i="4"/>
  <c r="C40" i="4"/>
  <c r="F36" i="4"/>
  <c r="C35" i="4"/>
  <c r="F33" i="4"/>
  <c r="C32" i="4"/>
  <c r="F29" i="4"/>
  <c r="C28" i="4"/>
  <c r="F26" i="4"/>
  <c r="C25" i="4"/>
  <c r="F22" i="4"/>
  <c r="C21" i="4"/>
  <c r="F19" i="4"/>
  <c r="C18" i="4"/>
  <c r="F15" i="4"/>
  <c r="C14" i="4"/>
  <c r="F11" i="4"/>
  <c r="C10" i="4"/>
  <c r="F7" i="4"/>
  <c r="F76" i="3"/>
  <c r="D78" i="3" s="1"/>
  <c r="F73" i="3"/>
  <c r="D75" i="3" s="1"/>
  <c r="F70" i="3"/>
  <c r="D72" i="3" s="1"/>
  <c r="F65" i="3"/>
  <c r="D67" i="3" s="1"/>
  <c r="D64" i="3"/>
  <c r="F57" i="3"/>
  <c r="D60" i="3" s="1"/>
  <c r="F54" i="3"/>
  <c r="D56" i="3" s="1"/>
  <c r="F50" i="3"/>
  <c r="D53" i="3" s="1"/>
  <c r="F47" i="3"/>
  <c r="D49" i="3" s="1"/>
  <c r="F41" i="3"/>
  <c r="D46" i="3" s="1"/>
  <c r="F36" i="3"/>
  <c r="D40" i="3" s="1"/>
  <c r="F33" i="3"/>
  <c r="D35" i="3" s="1"/>
  <c r="F29" i="3"/>
  <c r="D32" i="3" s="1"/>
  <c r="F26" i="3"/>
  <c r="D28" i="3" s="1"/>
  <c r="F22" i="3"/>
  <c r="D25" i="3" s="1"/>
  <c r="F19" i="3"/>
  <c r="D21" i="3" s="1"/>
  <c r="F15" i="3"/>
  <c r="D18" i="3" s="1"/>
  <c r="F11" i="3"/>
  <c r="D14" i="3" s="1"/>
  <c r="F7" i="3"/>
  <c r="D10" i="3" s="1"/>
  <c r="C77" i="14"/>
  <c r="F75" i="14"/>
  <c r="C74" i="14"/>
  <c r="F72" i="14"/>
  <c r="C71" i="14"/>
  <c r="F69" i="14"/>
  <c r="C66" i="14"/>
  <c r="I52" i="14"/>
  <c r="F64" i="14"/>
  <c r="D66" i="14" s="1"/>
  <c r="C63" i="14"/>
  <c r="F61" i="14"/>
  <c r="D63" i="14" s="1"/>
  <c r="C60" i="14"/>
  <c r="F57" i="14"/>
  <c r="D60" i="14" s="1"/>
  <c r="C56" i="14"/>
  <c r="F54" i="14"/>
  <c r="C53" i="14"/>
  <c r="F50" i="14"/>
  <c r="C49" i="14"/>
  <c r="F47" i="14"/>
  <c r="D49" i="14" s="1"/>
  <c r="C46" i="14"/>
  <c r="F41" i="14"/>
  <c r="C40" i="14"/>
  <c r="F36" i="14"/>
  <c r="C35" i="14"/>
  <c r="F33" i="14"/>
  <c r="C32" i="14"/>
  <c r="F29" i="14"/>
  <c r="D32" i="14" s="1"/>
  <c r="C28" i="14"/>
  <c r="F26" i="14"/>
  <c r="C25" i="14"/>
  <c r="F22" i="14"/>
  <c r="C21" i="14"/>
  <c r="F19" i="14"/>
  <c r="C18" i="14"/>
  <c r="F15" i="14"/>
  <c r="C14" i="14"/>
  <c r="F11" i="14"/>
  <c r="C10" i="14"/>
  <c r="F7" i="14"/>
  <c r="C78" i="1"/>
  <c r="F76" i="1"/>
  <c r="C75" i="1"/>
  <c r="F73" i="1"/>
  <c r="C72" i="1"/>
  <c r="F70" i="1"/>
  <c r="C67" i="1"/>
  <c r="F65" i="1"/>
  <c r="C64" i="1"/>
  <c r="C60" i="1"/>
  <c r="F57" i="1"/>
  <c r="C56" i="1"/>
  <c r="F54" i="1"/>
  <c r="C53" i="1"/>
  <c r="F50" i="1"/>
  <c r="C49" i="1"/>
  <c r="F47" i="1"/>
  <c r="C46" i="1"/>
  <c r="F41" i="1"/>
  <c r="C40" i="1"/>
  <c r="F36" i="1"/>
  <c r="C35" i="1"/>
  <c r="F33" i="1"/>
  <c r="C32" i="1"/>
  <c r="F29" i="1"/>
  <c r="D32" i="1" s="1"/>
  <c r="C28" i="1"/>
  <c r="F26" i="1"/>
  <c r="C25" i="1"/>
  <c r="F22" i="1"/>
  <c r="C21" i="1"/>
  <c r="F19" i="1"/>
  <c r="C18" i="1"/>
  <c r="C15" i="1"/>
  <c r="F12" i="1"/>
  <c r="C11" i="1"/>
  <c r="F8" i="1"/>
  <c r="D65" i="12" l="1"/>
  <c r="D76" i="12"/>
  <c r="D29" i="11"/>
  <c r="D22" i="11"/>
  <c r="D50" i="10"/>
  <c r="D33" i="9"/>
  <c r="D27" i="8"/>
  <c r="D49" i="7"/>
  <c r="D79" i="10"/>
  <c r="D76" i="11"/>
  <c r="D68" i="6"/>
  <c r="D68" i="12"/>
  <c r="D61" i="12"/>
  <c r="D50" i="12"/>
  <c r="D36" i="12"/>
  <c r="D33" i="12"/>
  <c r="D26" i="12"/>
  <c r="D19" i="12"/>
  <c r="D15" i="12"/>
  <c r="D11" i="12"/>
  <c r="D79" i="11"/>
  <c r="D54" i="11"/>
  <c r="D15" i="11"/>
  <c r="D76" i="10"/>
  <c r="D57" i="9"/>
  <c r="D41" i="9"/>
  <c r="D26" i="9"/>
  <c r="D58" i="8"/>
  <c r="D42" i="8"/>
  <c r="D12" i="8"/>
  <c r="D78" i="7"/>
  <c r="D73" i="6"/>
  <c r="D25" i="4"/>
  <c r="D28" i="4"/>
  <c r="D74" i="4"/>
  <c r="D25" i="14"/>
  <c r="D71" i="14"/>
  <c r="D53" i="14"/>
  <c r="D49" i="1"/>
  <c r="D25" i="1"/>
  <c r="D73" i="12"/>
  <c r="D57" i="12"/>
  <c r="D54" i="12"/>
  <c r="D41" i="12"/>
  <c r="D29" i="12"/>
  <c r="D22" i="12"/>
  <c r="D50" i="11"/>
  <c r="D68" i="11"/>
  <c r="D61" i="11"/>
  <c r="D47" i="11"/>
  <c r="D41" i="11"/>
  <c r="D36" i="11"/>
  <c r="D33" i="11"/>
  <c r="D26" i="11"/>
  <c r="D19" i="11"/>
  <c r="D11" i="11"/>
  <c r="D15" i="10"/>
  <c r="D65" i="10"/>
  <c r="D73" i="10"/>
  <c r="D47" i="10"/>
  <c r="D41" i="10"/>
  <c r="D19" i="10"/>
  <c r="D11" i="10"/>
  <c r="D22" i="10"/>
  <c r="D26" i="10"/>
  <c r="D57" i="10"/>
  <c r="D61" i="10"/>
  <c r="D36" i="10"/>
  <c r="D68" i="10"/>
  <c r="D54" i="10"/>
  <c r="D29" i="10"/>
  <c r="D65" i="9"/>
  <c r="D15" i="9"/>
  <c r="D36" i="9"/>
  <c r="D47" i="9"/>
  <c r="D79" i="9"/>
  <c r="D76" i="9"/>
  <c r="D73" i="9"/>
  <c r="D61" i="9"/>
  <c r="D54" i="9"/>
  <c r="D50" i="9"/>
  <c r="D29" i="9"/>
  <c r="D22" i="9"/>
  <c r="D11" i="9"/>
  <c r="D37" i="8"/>
  <c r="D16" i="8"/>
  <c r="D62" i="8"/>
  <c r="D68" i="8"/>
  <c r="D20" i="8"/>
  <c r="D65" i="8"/>
  <c r="D79" i="8"/>
  <c r="D76" i="8"/>
  <c r="D73" i="8"/>
  <c r="D55" i="8"/>
  <c r="D51" i="8"/>
  <c r="D48" i="8"/>
  <c r="D34" i="8"/>
  <c r="D30" i="8"/>
  <c r="D23" i="8"/>
  <c r="D10" i="7"/>
  <c r="D56" i="7"/>
  <c r="D35" i="7"/>
  <c r="D72" i="7"/>
  <c r="D67" i="7"/>
  <c r="D64" i="7"/>
  <c r="D53" i="7"/>
  <c r="D46" i="7"/>
  <c r="D40" i="7"/>
  <c r="D28" i="7"/>
  <c r="D25" i="7"/>
  <c r="D14" i="7"/>
  <c r="D18" i="7"/>
  <c r="D32" i="7"/>
  <c r="D21" i="7"/>
  <c r="D61" i="6"/>
  <c r="D50" i="6"/>
  <c r="D26" i="6"/>
  <c r="D22" i="6"/>
  <c r="D36" i="6"/>
  <c r="D54" i="6"/>
  <c r="D79" i="6"/>
  <c r="D65" i="6"/>
  <c r="D76" i="6"/>
  <c r="D11" i="6"/>
  <c r="D41" i="6"/>
  <c r="D15" i="6"/>
  <c r="D57" i="6"/>
  <c r="D47" i="6"/>
  <c r="D33" i="6"/>
  <c r="D63" i="4"/>
  <c r="D35" i="4"/>
  <c r="D32" i="4"/>
  <c r="D21" i="4"/>
  <c r="D60" i="4"/>
  <c r="D53" i="4"/>
  <c r="D49" i="4"/>
  <c r="D46" i="4"/>
  <c r="D40" i="4"/>
  <c r="D18" i="4"/>
  <c r="D14" i="4"/>
  <c r="D10" i="4"/>
  <c r="D77" i="14"/>
  <c r="D74" i="14"/>
  <c r="D56" i="14"/>
  <c r="D46" i="14"/>
  <c r="D40" i="14"/>
  <c r="D35" i="14"/>
  <c r="D28" i="14"/>
  <c r="D21" i="14"/>
  <c r="D18" i="14"/>
  <c r="D14" i="14"/>
  <c r="D10" i="14"/>
  <c r="D18" i="1"/>
  <c r="D64" i="1"/>
  <c r="D72" i="1"/>
  <c r="D60" i="1"/>
  <c r="D40" i="1"/>
  <c r="D67" i="1"/>
  <c r="D21" i="1"/>
  <c r="D28" i="1"/>
  <c r="D56" i="1"/>
  <c r="D46" i="1"/>
  <c r="D75" i="1"/>
  <c r="D11" i="1"/>
  <c r="D35" i="1"/>
  <c r="D53" i="1"/>
  <c r="D78" i="1"/>
  <c r="D15" i="1"/>
</calcChain>
</file>

<file path=xl/sharedStrings.xml><?xml version="1.0" encoding="utf-8"?>
<sst xmlns="http://schemas.openxmlformats.org/spreadsheetml/2006/main" count="1033" uniqueCount="102">
  <si>
    <t>Dept</t>
  </si>
  <si>
    <t>Shop</t>
  </si>
  <si>
    <t>Count</t>
  </si>
  <si>
    <t>Billed - N Status</t>
  </si>
  <si>
    <t>SHO</t>
  </si>
  <si>
    <t>SHI</t>
  </si>
  <si>
    <t>SHN</t>
  </si>
  <si>
    <t/>
  </si>
  <si>
    <t>SBI</t>
  </si>
  <si>
    <t>SBR</t>
  </si>
  <si>
    <t>SRQ</t>
  </si>
  <si>
    <t>SVI</t>
  </si>
  <si>
    <t>SVN</t>
  </si>
  <si>
    <t>SFL</t>
  </si>
  <si>
    <t>SFI</t>
  </si>
  <si>
    <t>SPI</t>
  </si>
  <si>
    <t>STR</t>
  </si>
  <si>
    <t>SSP</t>
  </si>
  <si>
    <t>SOA</t>
  </si>
  <si>
    <t>SOI</t>
  </si>
  <si>
    <t>SEI</t>
  </si>
  <si>
    <t>SSE</t>
  </si>
  <si>
    <t>SHA</t>
  </si>
  <si>
    <t>SAR</t>
  </si>
  <si>
    <t>SAC</t>
  </si>
  <si>
    <t>SDN</t>
  </si>
  <si>
    <t>SDR</t>
  </si>
  <si>
    <t>SJC</t>
  </si>
  <si>
    <t>SDV</t>
  </si>
  <si>
    <t>SSD</t>
  </si>
  <si>
    <t>SSI</t>
  </si>
  <si>
    <t>SNI</t>
  </si>
  <si>
    <t>SAU</t>
  </si>
  <si>
    <t>SNT</t>
  </si>
  <si>
    <t>SLV</t>
  </si>
  <si>
    <t>SDA</t>
  </si>
  <si>
    <t>SFW</t>
  </si>
  <si>
    <t>SGA</t>
  </si>
  <si>
    <t>SGI</t>
  </si>
  <si>
    <t>STI</t>
  </si>
  <si>
    <t>STB</t>
  </si>
  <si>
    <t>SMO</t>
  </si>
  <si>
    <t>SKI</t>
  </si>
  <si>
    <t>SKC</t>
  </si>
  <si>
    <t>SUI</t>
  </si>
  <si>
    <t>SUS</t>
  </si>
  <si>
    <t>SMA</t>
  </si>
  <si>
    <t>SMI</t>
  </si>
  <si>
    <t>SAI</t>
  </si>
  <si>
    <t>SLN</t>
  </si>
  <si>
    <t>SDI</t>
  </si>
  <si>
    <t>DEPT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</si>
  <si>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</si>
  <si>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</si>
  <si>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</si>
  <si>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</si>
  <si>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</si>
  <si>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</si>
  <si>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</si>
  <si>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</si>
  <si>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</si>
  <si>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</si>
  <si>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</si>
  <si>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</si>
  <si>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SWA</t>
  </si>
  <si>
    <t>Group Average</t>
  </si>
  <si>
    <t>Target</t>
  </si>
  <si>
    <t>Houston</t>
  </si>
  <si>
    <t>Oxford</t>
  </si>
  <si>
    <t>Van Nuys</t>
  </si>
  <si>
    <t>Ft Lauderdale</t>
  </si>
  <si>
    <t>St Paul</t>
  </si>
  <si>
    <t>Manassas</t>
  </si>
  <si>
    <t>Portland</t>
  </si>
  <si>
    <t>Seattle</t>
  </si>
  <si>
    <t>Sacramento</t>
  </si>
  <si>
    <t>Denver</t>
  </si>
  <si>
    <t>Sottsdale</t>
  </si>
  <si>
    <t>Austin</t>
  </si>
  <si>
    <t>Las Vegas</t>
  </si>
  <si>
    <t>Dallas</t>
  </si>
  <si>
    <t>Atlanta</t>
  </si>
  <si>
    <t>Morristown</t>
  </si>
  <si>
    <t>Kansas City</t>
  </si>
  <si>
    <t>St Louis</t>
  </si>
  <si>
    <t>Bedford</t>
  </si>
  <si>
    <t>Teterboro</t>
  </si>
  <si>
    <t>SHC</t>
  </si>
  <si>
    <t>SNV</t>
  </si>
  <si>
    <t>Nashville</t>
  </si>
  <si>
    <t>SUO</t>
  </si>
  <si>
    <t>SWI</t>
  </si>
  <si>
    <t>SWP</t>
  </si>
  <si>
    <t>AVG</t>
  </si>
  <si>
    <t>Long Island</t>
  </si>
  <si>
    <t>878</t>
  </si>
  <si>
    <t>879</t>
  </si>
  <si>
    <t>885</t>
  </si>
  <si>
    <t>SLO</t>
  </si>
  <si>
    <t>SJI</t>
  </si>
  <si>
    <t>SIL</t>
  </si>
  <si>
    <t>STL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</si>
</sst>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"/>
    <numFmt numFmtId="165" formatCode="0.0"/>
  </numFmts>
  <fonts count="4" x14ac:knownFonts="1">
    <font>
      <sz val="1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DCAC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medium">
        <color indexed="64"/>
      </top>
      <bottom style="thin">
        <color rgb="FFC0C0C0"/>
      </bottom>
      <diagonal/>
    </border>
    <border>
      <left style="thin">
        <color rgb="FFC0C0C0"/>
      </left>
      <right style="medium">
        <color indexed="64"/>
      </right>
      <top style="medium">
        <color indexed="64"/>
      </top>
      <bottom style="thin">
        <color rgb="FFC0C0C0"/>
      </bottom>
      <diagonal/>
    </border>
    <border>
      <left style="thin">
        <color rgb="FFC0C0C0"/>
      </left>
      <right style="medium">
        <color indexed="64"/>
      </right>
      <top style="thin">
        <color rgb="FFC0C0C0"/>
      </top>
      <bottom style="thin">
        <color rgb="FFC0C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medium">
        <color indexed="64"/>
      </right>
      <top/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60">
    <xf numFmtId="0" fontId="0" fillId="0" borderId="0" xfId="0"/>
    <xf numFmtId="0" fontId="1" fillId="3" borderId="0" xfId="0" applyFont="1" applyFill="1" applyBorder="1" applyAlignment="1">
      <alignment horizontal="center" vertical="center"/>
    </xf>
    <xf numFmtId="0" fontId="0" fillId="0" borderId="0" xfId="0" applyBorder="1"/>
    <xf numFmtId="0" fontId="2" fillId="2" borderId="0" xfId="0" applyFont="1" applyFill="1" applyBorder="1" applyAlignment="1">
      <alignment horizontal="center" vertical="center" wrapText="1"/>
    </xf>
    <xf numFmtId="3" fontId="2" fillId="2" borderId="0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righ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3" fontId="2" fillId="3" borderId="7" xfId="0" applyNumberFormat="1" applyFont="1" applyFill="1" applyBorder="1" applyAlignment="1">
      <alignment horizontal="center" vertical="center"/>
    </xf>
    <xf numFmtId="165" fontId="2" fillId="3" borderId="8" xfId="0" applyNumberFormat="1" applyFont="1" applyFill="1" applyBorder="1" applyAlignment="1">
      <alignment horizontal="center" vertical="center"/>
    </xf>
    <xf numFmtId="165" fontId="1" fillId="3" borderId="0" xfId="0" applyNumberFormat="1" applyFont="1" applyFill="1" applyBorder="1" applyAlignment="1">
      <alignment horizontal="center" vertical="center"/>
    </xf>
    <xf numFmtId="165" fontId="2" fillId="2" borderId="3" xfId="0" applyNumberFormat="1" applyFont="1" applyFill="1" applyBorder="1" applyAlignment="1">
      <alignment horizontal="right" vertical="center" wrapText="1"/>
    </xf>
    <xf numFmtId="165" fontId="2" fillId="2" borderId="5" xfId="0" applyNumberFormat="1" applyFont="1" applyFill="1" applyBorder="1" applyAlignment="1">
      <alignment horizontal="right" vertical="center" wrapText="1"/>
    </xf>
    <xf numFmtId="165" fontId="0" fillId="0" borderId="0" xfId="0" applyNumberFormat="1" applyBorder="1"/>
    <xf numFmtId="49" fontId="2" fillId="2" borderId="1" xfId="0" applyNumberFormat="1" applyFont="1" applyFill="1" applyBorder="1" applyAlignment="1">
      <alignment horizontal="center" vertical="center" wrapText="1"/>
    </xf>
    <xf numFmtId="3" fontId="2" fillId="2" borderId="10" xfId="0" applyNumberFormat="1" applyFont="1" applyFill="1" applyBorder="1" applyAlignment="1">
      <alignment horizontal="right" vertical="center" wrapText="1"/>
    </xf>
    <xf numFmtId="164" fontId="2" fillId="2" borderId="11" xfId="0" applyNumberFormat="1" applyFont="1" applyFill="1" applyBorder="1" applyAlignment="1">
      <alignment horizontal="right" vertical="center" wrapText="1"/>
    </xf>
    <xf numFmtId="164" fontId="2" fillId="2" borderId="12" xfId="0" applyNumberFormat="1" applyFont="1" applyFill="1" applyBorder="1" applyAlignment="1">
      <alignment horizontal="right" vertical="center" wrapText="1"/>
    </xf>
    <xf numFmtId="3" fontId="2" fillId="2" borderId="9" xfId="0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Fill="1" applyBorder="1"/>
    <xf numFmtId="0" fontId="2" fillId="3" borderId="0" xfId="0" applyFont="1" applyFill="1" applyBorder="1" applyAlignment="1">
      <alignment horizontal="center" vertical="center"/>
    </xf>
    <xf numFmtId="3" fontId="2" fillId="3" borderId="0" xfId="0" applyNumberFormat="1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3" fontId="2" fillId="4" borderId="0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3" borderId="6" xfId="0" applyNumberFormat="1" applyFont="1" applyFill="1" applyBorder="1" applyAlignment="1">
      <alignment horizontal="center" vertical="center"/>
    </xf>
    <xf numFmtId="0" fontId="0" fillId="0" borderId="13" xfId="0" applyFill="1" applyBorder="1" applyAlignment="1">
      <alignment horizontal="center"/>
    </xf>
    <xf numFmtId="165" fontId="2" fillId="4" borderId="5" xfId="0" applyNumberFormat="1" applyFont="1" applyFill="1" applyBorder="1" applyAlignment="1">
      <alignment horizontal="right" vertical="center"/>
    </xf>
    <xf numFmtId="164" fontId="2" fillId="2" borderId="5" xfId="0" applyNumberFormat="1" applyFont="1" applyFill="1" applyBorder="1" applyAlignment="1">
      <alignment horizontal="right" vertical="center" wrapText="1"/>
    </xf>
    <xf numFmtId="3" fontId="2" fillId="2" borderId="14" xfId="0" applyNumberFormat="1" applyFont="1" applyFill="1" applyBorder="1" applyAlignment="1">
      <alignment horizontal="right" vertical="center" wrapText="1"/>
    </xf>
    <xf numFmtId="164" fontId="2" fillId="2" borderId="15" xfId="0" applyNumberFormat="1" applyFont="1" applyFill="1" applyBorder="1" applyAlignment="1">
      <alignment horizontal="right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right" vertical="center"/>
    </xf>
    <xf numFmtId="165" fontId="2" fillId="4" borderId="3" xfId="0" applyNumberFormat="1" applyFont="1" applyFill="1" applyBorder="1" applyAlignment="1">
      <alignment horizontal="right" vertical="center"/>
    </xf>
    <xf numFmtId="49" fontId="2" fillId="4" borderId="1" xfId="0" applyNumberFormat="1" applyFont="1" applyFill="1" applyBorder="1" applyAlignment="1">
      <alignment horizontal="center" vertical="center"/>
    </xf>
    <xf numFmtId="165" fontId="2" fillId="4" borderId="3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2" fontId="0" fillId="0" borderId="0" xfId="0" applyNumberFormat="1" applyBorder="1"/>
    <xf numFmtId="165" fontId="0" fillId="0" borderId="0" xfId="0" applyNumberFormat="1" applyFill="1" applyBorder="1"/>
    <xf numFmtId="165" fontId="0" fillId="0" borderId="13" xfId="0" applyNumberFormat="1" applyFill="1" applyBorder="1"/>
    <xf numFmtId="165" fontId="0" fillId="4" borderId="13" xfId="0" applyNumberFormat="1" applyFill="1" applyBorder="1"/>
    <xf numFmtId="0" fontId="2" fillId="4" borderId="1" xfId="0" applyFont="1" applyFill="1" applyBorder="1" applyAlignment="1">
      <alignment horizontal="center" vertical="center"/>
    </xf>
    <xf numFmtId="165" fontId="0" fillId="0" borderId="13" xfId="0" applyNumberFormat="1" applyBorder="1"/>
    <xf numFmtId="165" fontId="2" fillId="4" borderId="5" xfId="0" applyNumberFormat="1" applyFont="1" applyFill="1" applyBorder="1" applyAlignment="1">
      <alignment horizontal="center" vertical="center"/>
    </xf>
    <xf numFmtId="49" fontId="2" fillId="4" borderId="4" xfId="0" applyNumberFormat="1" applyFont="1" applyFill="1" applyBorder="1" applyAlignment="1">
      <alignment horizontal="center" vertical="center"/>
    </xf>
    <xf numFmtId="2" fontId="0" fillId="0" borderId="0" xfId="0" applyNumberFormat="1" applyFill="1" applyBorder="1"/>
    <xf numFmtId="0" fontId="0" fillId="0" borderId="13" xfId="0" applyBorder="1"/>
    <xf numFmtId="0" fontId="0" fillId="0" borderId="13" xfId="0" applyFill="1" applyBorder="1"/>
    <xf numFmtId="0" fontId="2" fillId="4" borderId="4" xfId="0" applyFont="1" applyFill="1" applyBorder="1" applyAlignment="1">
      <alignment horizontal="center" vertical="center"/>
    </xf>
    <xf numFmtId="0" fontId="0" fillId="5" borderId="13" xfId="0" applyFill="1" applyBorder="1"/>
    <xf numFmtId="165" fontId="0" fillId="5" borderId="13" xfId="0" applyNumberFormat="1" applyFill="1" applyBorder="1"/>
    <xf numFmtId="0" fontId="2" fillId="4" borderId="0" xfId="0" applyFont="1" applyFill="1" applyBorder="1" applyAlignment="1">
      <alignment horizontal="right" vertical="center"/>
    </xf>
    <xf numFmtId="165" fontId="0" fillId="0" borderId="13" xfId="0" applyNumberFormat="1" applyBorder="1" applyAlignment="1">
      <alignment horizontal="right"/>
    </xf>
    <xf numFmtId="165" fontId="0" fillId="5" borderId="13" xfId="0" applyNumberForma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BDCACA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BDCA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Days</a:t>
            </a:r>
            <a:r>
              <a:rPr lang="en-US" baseline="0"/>
              <a:t> To Bill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Summary!$B$1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Summary!$A$2:$A$24</c:f>
              <c:strCache>
                <c:ptCount val="23"/>
                <c:pt idx="0">
                  <c:v>Long Island</c:v>
                </c:pt>
                <c:pt idx="1">
                  <c:v>Nashville</c:v>
                </c:pt>
                <c:pt idx="2">
                  <c:v>Houston</c:v>
                </c:pt>
                <c:pt idx="3">
                  <c:v>Oxford</c:v>
                </c:pt>
                <c:pt idx="4">
                  <c:v>Van Nuys</c:v>
                </c:pt>
                <c:pt idx="5">
                  <c:v>Ft Lauderdale</c:v>
                </c:pt>
                <c:pt idx="6">
                  <c:v>St Paul</c:v>
                </c:pt>
                <c:pt idx="7">
                  <c:v>Manassas</c:v>
                </c:pt>
                <c:pt idx="8">
                  <c:v>Portland</c:v>
                </c:pt>
                <c:pt idx="9">
                  <c:v>Seattle</c:v>
                </c:pt>
                <c:pt idx="10">
                  <c:v>Sacramento</c:v>
                </c:pt>
                <c:pt idx="11">
                  <c:v>Denver</c:v>
                </c:pt>
                <c:pt idx="12">
                  <c:v>Sottsdale</c:v>
                </c:pt>
                <c:pt idx="13">
                  <c:v>Austin</c:v>
                </c:pt>
                <c:pt idx="14">
                  <c:v>Las Vegas</c:v>
                </c:pt>
                <c:pt idx="15">
                  <c:v>Dallas</c:v>
                </c:pt>
                <c:pt idx="16">
                  <c:v>Atlanta</c:v>
                </c:pt>
                <c:pt idx="17">
                  <c:v>Teterboro</c:v>
                </c:pt>
                <c:pt idx="18">
                  <c:v>Morristown</c:v>
                </c:pt>
                <c:pt idx="19">
                  <c:v>Kansas City</c:v>
                </c:pt>
                <c:pt idx="20">
                  <c:v>St Louis</c:v>
                </c:pt>
                <c:pt idx="21">
                  <c:v>Bedford</c:v>
                </c:pt>
                <c:pt idx="22">
                  <c:v>Group Average</c:v>
                </c:pt>
              </c:strCache>
            </c:strRef>
          </c:cat>
          <c:val>
            <c:numRef>
              <c:f>Summary!$B$2:$B$24</c:f>
              <c:numCache>
                <c:formatCode>General</c:formatCode>
                <c:ptCount val="23"/>
                <c:pt idx="0">
                  <c:v>1.6</c:v>
                </c:pt>
                <c:pt idx="1">
                  <c:v>0.6</c:v>
                </c:pt>
                <c:pt idx="2">
                  <c:v>8.1999999999999993</c:v>
                </c:pt>
                <c:pt idx="3">
                  <c:v>7.1</c:v>
                </c:pt>
                <c:pt idx="4">
                  <c:v>3.7</c:v>
                </c:pt>
                <c:pt idx="5">
                  <c:v>3.7</c:v>
                </c:pt>
                <c:pt idx="6">
                  <c:v>2.7</c:v>
                </c:pt>
                <c:pt idx="7">
                  <c:v>2.1</c:v>
                </c:pt>
                <c:pt idx="8">
                  <c:v>2.1</c:v>
                </c:pt>
                <c:pt idx="9">
                  <c:v>0.9</c:v>
                </c:pt>
                <c:pt idx="10">
                  <c:v>5.0999999999999996</c:v>
                </c:pt>
                <c:pt idx="11">
                  <c:v>3.8</c:v>
                </c:pt>
                <c:pt idx="12">
                  <c:v>6.3</c:v>
                </c:pt>
                <c:pt idx="13">
                  <c:v>12.1</c:v>
                </c:pt>
                <c:pt idx="14">
                  <c:v>3.7</c:v>
                </c:pt>
                <c:pt idx="15">
                  <c:v>8.5</c:v>
                </c:pt>
                <c:pt idx="16">
                  <c:v>0.9</c:v>
                </c:pt>
                <c:pt idx="17">
                  <c:v>16.899999999999999</c:v>
                </c:pt>
                <c:pt idx="18">
                  <c:v>3.4</c:v>
                </c:pt>
                <c:pt idx="19">
                  <c:v>0.6</c:v>
                </c:pt>
                <c:pt idx="20" formatCode="0.0">
                  <c:v>0.9</c:v>
                </c:pt>
                <c:pt idx="21">
                  <c:v>4.8</c:v>
                </c:pt>
                <c:pt idx="22" formatCode="0.0">
                  <c:v>4.5318181818181822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F9-4BEC-A0F1-637983666F66}"/>
            </c:ext>
          </c:extLst>
        </c:ser>
        <c:ser>
          <c:idx val="1"/>
          <c:order val="1"/>
          <c:tx>
            <c:strRef>
              <c:f>Summary!$C$1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Summary!$A$2:$A$24</c:f>
              <c:strCache>
                <c:ptCount val="23"/>
                <c:pt idx="0">
                  <c:v>Long Island</c:v>
                </c:pt>
                <c:pt idx="1">
                  <c:v>Nashville</c:v>
                </c:pt>
                <c:pt idx="2">
                  <c:v>Houston</c:v>
                </c:pt>
                <c:pt idx="3">
                  <c:v>Oxford</c:v>
                </c:pt>
                <c:pt idx="4">
                  <c:v>Van Nuys</c:v>
                </c:pt>
                <c:pt idx="5">
                  <c:v>Ft Lauderdale</c:v>
                </c:pt>
                <c:pt idx="6">
                  <c:v>St Paul</c:v>
                </c:pt>
                <c:pt idx="7">
                  <c:v>Manassas</c:v>
                </c:pt>
                <c:pt idx="8">
                  <c:v>Portland</c:v>
                </c:pt>
                <c:pt idx="9">
                  <c:v>Seattle</c:v>
                </c:pt>
                <c:pt idx="10">
                  <c:v>Sacramento</c:v>
                </c:pt>
                <c:pt idx="11">
                  <c:v>Denver</c:v>
                </c:pt>
                <c:pt idx="12">
                  <c:v>Sottsdale</c:v>
                </c:pt>
                <c:pt idx="13">
                  <c:v>Austin</c:v>
                </c:pt>
                <c:pt idx="14">
                  <c:v>Las Vegas</c:v>
                </c:pt>
                <c:pt idx="15">
                  <c:v>Dallas</c:v>
                </c:pt>
                <c:pt idx="16">
                  <c:v>Atlanta</c:v>
                </c:pt>
                <c:pt idx="17">
                  <c:v>Teterboro</c:v>
                </c:pt>
                <c:pt idx="18">
                  <c:v>Morristown</c:v>
                </c:pt>
                <c:pt idx="19">
                  <c:v>Kansas City</c:v>
                </c:pt>
                <c:pt idx="20">
                  <c:v>St Louis</c:v>
                </c:pt>
                <c:pt idx="21">
                  <c:v>Bedford</c:v>
                </c:pt>
                <c:pt idx="22">
                  <c:v>Group Average</c:v>
                </c:pt>
              </c:strCache>
            </c:strRef>
          </c:cat>
          <c:val>
            <c:numRef>
              <c:f>Summary!$C$2:$C$24</c:f>
              <c:numCache>
                <c:formatCode>General</c:formatCode>
                <c:ptCount val="23"/>
                <c:pt idx="0">
                  <c:v>2.6</c:v>
                </c:pt>
                <c:pt idx="1">
                  <c:v>0</c:v>
                </c:pt>
                <c:pt idx="2">
                  <c:v>18.3</c:v>
                </c:pt>
                <c:pt idx="3">
                  <c:v>6.4</c:v>
                </c:pt>
                <c:pt idx="4">
                  <c:v>4.4000000000000004</c:v>
                </c:pt>
                <c:pt idx="5">
                  <c:v>7.2</c:v>
                </c:pt>
                <c:pt idx="6">
                  <c:v>3.2</c:v>
                </c:pt>
                <c:pt idx="7">
                  <c:v>1.4</c:v>
                </c:pt>
                <c:pt idx="8">
                  <c:v>2</c:v>
                </c:pt>
                <c:pt idx="9">
                  <c:v>1.8</c:v>
                </c:pt>
                <c:pt idx="10">
                  <c:v>9.6999999999999993</c:v>
                </c:pt>
                <c:pt idx="11">
                  <c:v>2.6</c:v>
                </c:pt>
                <c:pt idx="12">
                  <c:v>3</c:v>
                </c:pt>
                <c:pt idx="13">
                  <c:v>4.4000000000000004</c:v>
                </c:pt>
                <c:pt idx="14">
                  <c:v>5.8</c:v>
                </c:pt>
                <c:pt idx="15">
                  <c:v>8.1</c:v>
                </c:pt>
                <c:pt idx="16">
                  <c:v>0.7</c:v>
                </c:pt>
                <c:pt idx="17">
                  <c:v>15.2</c:v>
                </c:pt>
                <c:pt idx="18">
                  <c:v>3.4</c:v>
                </c:pt>
                <c:pt idx="19">
                  <c:v>0.4</c:v>
                </c:pt>
                <c:pt idx="20">
                  <c:v>1.5</c:v>
                </c:pt>
                <c:pt idx="21" formatCode="0.0">
                  <c:v>4.0999999999999996</c:v>
                </c:pt>
                <c:pt idx="22" formatCode="0.0">
                  <c:v>4.8272727272727272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F9-4BEC-A0F1-637983666F66}"/>
            </c:ext>
          </c:extLst>
        </c:ser>
        <c:ser>
          <c:idx val="2"/>
          <c:order val="2"/>
          <c:tx>
            <c:strRef>
              <c:f>Summary!$D$1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Summary!$A$2:$A$24</c:f>
              <c:strCache>
                <c:ptCount val="23"/>
                <c:pt idx="0">
                  <c:v>Long Island</c:v>
                </c:pt>
                <c:pt idx="1">
                  <c:v>Nashville</c:v>
                </c:pt>
                <c:pt idx="2">
                  <c:v>Houston</c:v>
                </c:pt>
                <c:pt idx="3">
                  <c:v>Oxford</c:v>
                </c:pt>
                <c:pt idx="4">
                  <c:v>Van Nuys</c:v>
                </c:pt>
                <c:pt idx="5">
                  <c:v>Ft Lauderdale</c:v>
                </c:pt>
                <c:pt idx="6">
                  <c:v>St Paul</c:v>
                </c:pt>
                <c:pt idx="7">
                  <c:v>Manassas</c:v>
                </c:pt>
                <c:pt idx="8">
                  <c:v>Portland</c:v>
                </c:pt>
                <c:pt idx="9">
                  <c:v>Seattle</c:v>
                </c:pt>
                <c:pt idx="10">
                  <c:v>Sacramento</c:v>
                </c:pt>
                <c:pt idx="11">
                  <c:v>Denver</c:v>
                </c:pt>
                <c:pt idx="12">
                  <c:v>Sottsdale</c:v>
                </c:pt>
                <c:pt idx="13">
                  <c:v>Austin</c:v>
                </c:pt>
                <c:pt idx="14">
                  <c:v>Las Vegas</c:v>
                </c:pt>
                <c:pt idx="15">
                  <c:v>Dallas</c:v>
                </c:pt>
                <c:pt idx="16">
                  <c:v>Atlanta</c:v>
                </c:pt>
                <c:pt idx="17">
                  <c:v>Teterboro</c:v>
                </c:pt>
                <c:pt idx="18">
                  <c:v>Morristown</c:v>
                </c:pt>
                <c:pt idx="19">
                  <c:v>Kansas City</c:v>
                </c:pt>
                <c:pt idx="20">
                  <c:v>St Louis</c:v>
                </c:pt>
                <c:pt idx="21">
                  <c:v>Bedford</c:v>
                </c:pt>
                <c:pt idx="22">
                  <c:v>Group Average</c:v>
                </c:pt>
              </c:strCache>
            </c:strRef>
          </c:cat>
          <c:val>
            <c:numRef>
              <c:f>Summary!$D$2:$D$24</c:f>
              <c:numCache>
                <c:formatCode>General</c:formatCode>
                <c:ptCount val="23"/>
                <c:pt idx="0">
                  <c:v>7.6</c:v>
                </c:pt>
                <c:pt idx="1">
                  <c:v>0</c:v>
                </c:pt>
                <c:pt idx="2">
                  <c:v>16.8</c:v>
                </c:pt>
                <c:pt idx="3">
                  <c:v>7.3</c:v>
                </c:pt>
                <c:pt idx="4">
                  <c:v>4.3</c:v>
                </c:pt>
                <c:pt idx="5">
                  <c:v>6.5</c:v>
                </c:pt>
                <c:pt idx="6">
                  <c:v>1.2</c:v>
                </c:pt>
                <c:pt idx="7">
                  <c:v>1.8</c:v>
                </c:pt>
                <c:pt idx="8">
                  <c:v>1.9</c:v>
                </c:pt>
                <c:pt idx="9">
                  <c:v>0.3</c:v>
                </c:pt>
                <c:pt idx="10">
                  <c:v>8.8000000000000007</c:v>
                </c:pt>
                <c:pt idx="11">
                  <c:v>2.1</c:v>
                </c:pt>
                <c:pt idx="12">
                  <c:v>4.0999999999999996</c:v>
                </c:pt>
                <c:pt idx="13">
                  <c:v>10.6</c:v>
                </c:pt>
                <c:pt idx="14">
                  <c:v>8.6999999999999993</c:v>
                </c:pt>
                <c:pt idx="15">
                  <c:v>12.3</c:v>
                </c:pt>
                <c:pt idx="16">
                  <c:v>2</c:v>
                </c:pt>
                <c:pt idx="17">
                  <c:v>19.5</c:v>
                </c:pt>
                <c:pt idx="18">
                  <c:v>6</c:v>
                </c:pt>
                <c:pt idx="19">
                  <c:v>0</c:v>
                </c:pt>
                <c:pt idx="20" formatCode="0.0">
                  <c:v>0.3</c:v>
                </c:pt>
                <c:pt idx="21" formatCode="0.0">
                  <c:v>0</c:v>
                </c:pt>
                <c:pt idx="22" formatCode="0.0">
                  <c:v>5.55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F9-4BEC-A0F1-637983666F66}"/>
            </c:ext>
          </c:extLst>
        </c:ser>
        <c:ser>
          <c:idx val="3"/>
          <c:order val="3"/>
          <c:tx>
            <c:strRef>
              <c:f>Summary!$E$1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Summary!$A$2:$A$24</c:f>
              <c:strCache>
                <c:ptCount val="23"/>
                <c:pt idx="0">
                  <c:v>Long Island</c:v>
                </c:pt>
                <c:pt idx="1">
                  <c:v>Nashville</c:v>
                </c:pt>
                <c:pt idx="2">
                  <c:v>Houston</c:v>
                </c:pt>
                <c:pt idx="3">
                  <c:v>Oxford</c:v>
                </c:pt>
                <c:pt idx="4">
                  <c:v>Van Nuys</c:v>
                </c:pt>
                <c:pt idx="5">
                  <c:v>Ft Lauderdale</c:v>
                </c:pt>
                <c:pt idx="6">
                  <c:v>St Paul</c:v>
                </c:pt>
                <c:pt idx="7">
                  <c:v>Manassas</c:v>
                </c:pt>
                <c:pt idx="8">
                  <c:v>Portland</c:v>
                </c:pt>
                <c:pt idx="9">
                  <c:v>Seattle</c:v>
                </c:pt>
                <c:pt idx="10">
                  <c:v>Sacramento</c:v>
                </c:pt>
                <c:pt idx="11">
                  <c:v>Denver</c:v>
                </c:pt>
                <c:pt idx="12">
                  <c:v>Sottsdale</c:v>
                </c:pt>
                <c:pt idx="13">
                  <c:v>Austin</c:v>
                </c:pt>
                <c:pt idx="14">
                  <c:v>Las Vegas</c:v>
                </c:pt>
                <c:pt idx="15">
                  <c:v>Dallas</c:v>
                </c:pt>
                <c:pt idx="16">
                  <c:v>Atlanta</c:v>
                </c:pt>
                <c:pt idx="17">
                  <c:v>Teterboro</c:v>
                </c:pt>
                <c:pt idx="18">
                  <c:v>Morristown</c:v>
                </c:pt>
                <c:pt idx="19">
                  <c:v>Kansas City</c:v>
                </c:pt>
                <c:pt idx="20">
                  <c:v>St Louis</c:v>
                </c:pt>
                <c:pt idx="21">
                  <c:v>Bedford</c:v>
                </c:pt>
                <c:pt idx="22">
                  <c:v>Group Average</c:v>
                </c:pt>
              </c:strCache>
            </c:strRef>
          </c:cat>
          <c:val>
            <c:numRef>
              <c:f>Summary!$E$2:$E$24</c:f>
              <c:numCache>
                <c:formatCode>General</c:formatCode>
                <c:ptCount val="23"/>
                <c:pt idx="0">
                  <c:v>5.2</c:v>
                </c:pt>
                <c:pt idx="1">
                  <c:v>0</c:v>
                </c:pt>
                <c:pt idx="2">
                  <c:v>7.3</c:v>
                </c:pt>
                <c:pt idx="3">
                  <c:v>7.5</c:v>
                </c:pt>
                <c:pt idx="4">
                  <c:v>3.3</c:v>
                </c:pt>
                <c:pt idx="5">
                  <c:v>4.9000000000000004</c:v>
                </c:pt>
                <c:pt idx="6">
                  <c:v>0</c:v>
                </c:pt>
                <c:pt idx="7">
                  <c:v>3.4</c:v>
                </c:pt>
                <c:pt idx="8">
                  <c:v>1.6</c:v>
                </c:pt>
                <c:pt idx="9">
                  <c:v>1.5</c:v>
                </c:pt>
                <c:pt idx="10">
                  <c:v>11.6</c:v>
                </c:pt>
                <c:pt idx="11">
                  <c:v>2.6</c:v>
                </c:pt>
                <c:pt idx="12">
                  <c:v>2.1</c:v>
                </c:pt>
                <c:pt idx="13">
                  <c:v>6.7</c:v>
                </c:pt>
                <c:pt idx="14">
                  <c:v>1.9</c:v>
                </c:pt>
                <c:pt idx="15">
                  <c:v>6.5</c:v>
                </c:pt>
                <c:pt idx="16">
                  <c:v>0.3</c:v>
                </c:pt>
                <c:pt idx="17">
                  <c:v>25.7</c:v>
                </c:pt>
                <c:pt idx="18">
                  <c:v>8.1</c:v>
                </c:pt>
                <c:pt idx="19">
                  <c:v>0.4</c:v>
                </c:pt>
                <c:pt idx="20">
                  <c:v>1.2</c:v>
                </c:pt>
                <c:pt idx="21" formatCode="0.0">
                  <c:v>6.2</c:v>
                </c:pt>
                <c:pt idx="22" formatCode="0.0">
                  <c:v>4.9090909090909101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F9-4BEC-A0F1-637983666F66}"/>
            </c:ext>
          </c:extLst>
        </c:ser>
        <c:ser>
          <c:idx val="4"/>
          <c:order val="4"/>
          <c:tx>
            <c:strRef>
              <c:f>Summary!$F$1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Summary!$A$2:$A$24</c:f>
              <c:strCache>
                <c:ptCount val="23"/>
                <c:pt idx="0">
                  <c:v>Long Island</c:v>
                </c:pt>
                <c:pt idx="1">
                  <c:v>Nashville</c:v>
                </c:pt>
                <c:pt idx="2">
                  <c:v>Houston</c:v>
                </c:pt>
                <c:pt idx="3">
                  <c:v>Oxford</c:v>
                </c:pt>
                <c:pt idx="4">
                  <c:v>Van Nuys</c:v>
                </c:pt>
                <c:pt idx="5">
                  <c:v>Ft Lauderdale</c:v>
                </c:pt>
                <c:pt idx="6">
                  <c:v>St Paul</c:v>
                </c:pt>
                <c:pt idx="7">
                  <c:v>Manassas</c:v>
                </c:pt>
                <c:pt idx="8">
                  <c:v>Portland</c:v>
                </c:pt>
                <c:pt idx="9">
                  <c:v>Seattle</c:v>
                </c:pt>
                <c:pt idx="10">
                  <c:v>Sacramento</c:v>
                </c:pt>
                <c:pt idx="11">
                  <c:v>Denver</c:v>
                </c:pt>
                <c:pt idx="12">
                  <c:v>Sottsdale</c:v>
                </c:pt>
                <c:pt idx="13">
                  <c:v>Austin</c:v>
                </c:pt>
                <c:pt idx="14">
                  <c:v>Las Vegas</c:v>
                </c:pt>
                <c:pt idx="15">
                  <c:v>Dallas</c:v>
                </c:pt>
                <c:pt idx="16">
                  <c:v>Atlanta</c:v>
                </c:pt>
                <c:pt idx="17">
                  <c:v>Teterboro</c:v>
                </c:pt>
                <c:pt idx="18">
                  <c:v>Morristown</c:v>
                </c:pt>
                <c:pt idx="19">
                  <c:v>Kansas City</c:v>
                </c:pt>
                <c:pt idx="20">
                  <c:v>St Louis</c:v>
                </c:pt>
                <c:pt idx="21">
                  <c:v>Bedford</c:v>
                </c:pt>
                <c:pt idx="22">
                  <c:v>Group Average</c:v>
                </c:pt>
              </c:strCache>
            </c:strRef>
          </c:cat>
          <c:val>
            <c:numRef>
              <c:f>Summary!$F$2:$F$24</c:f>
              <c:numCache>
                <c:formatCode>General</c:formatCode>
                <c:ptCount val="23"/>
                <c:pt idx="0">
                  <c:v>4.4000000000000004</c:v>
                </c:pt>
                <c:pt idx="1">
                  <c:v>0</c:v>
                </c:pt>
                <c:pt idx="2">
                  <c:v>10.1</c:v>
                </c:pt>
                <c:pt idx="3">
                  <c:v>5.3</c:v>
                </c:pt>
                <c:pt idx="4">
                  <c:v>3.5</c:v>
                </c:pt>
                <c:pt idx="5">
                  <c:v>6.5</c:v>
                </c:pt>
                <c:pt idx="6">
                  <c:v>4</c:v>
                </c:pt>
                <c:pt idx="7">
                  <c:v>3.8</c:v>
                </c:pt>
                <c:pt idx="8">
                  <c:v>3.7</c:v>
                </c:pt>
                <c:pt idx="9">
                  <c:v>1.8</c:v>
                </c:pt>
                <c:pt idx="10">
                  <c:v>16.899999999999999</c:v>
                </c:pt>
                <c:pt idx="11">
                  <c:v>5.6</c:v>
                </c:pt>
                <c:pt idx="12">
                  <c:v>4.3</c:v>
                </c:pt>
                <c:pt idx="13">
                  <c:v>8.9</c:v>
                </c:pt>
                <c:pt idx="14">
                  <c:v>3.1</c:v>
                </c:pt>
                <c:pt idx="15">
                  <c:v>5.7</c:v>
                </c:pt>
                <c:pt idx="16">
                  <c:v>0.2</c:v>
                </c:pt>
                <c:pt idx="17">
                  <c:v>25.8</c:v>
                </c:pt>
                <c:pt idx="18">
                  <c:v>8.1</c:v>
                </c:pt>
                <c:pt idx="19">
                  <c:v>3</c:v>
                </c:pt>
                <c:pt idx="20">
                  <c:v>0.7</c:v>
                </c:pt>
                <c:pt idx="21" formatCode="0.0">
                  <c:v>5.5</c:v>
                </c:pt>
                <c:pt idx="22" formatCode="0.0">
                  <c:v>5.9499999999999993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8F9-4BEC-A0F1-637983666F66}"/>
            </c:ext>
          </c:extLst>
        </c:ser>
        <c:ser>
          <c:idx val="5"/>
          <c:order val="5"/>
          <c:tx>
            <c:strRef>
              <c:f>Summary!$G$1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Summary!$A$2:$A$24</c:f>
              <c:strCache>
                <c:ptCount val="23"/>
                <c:pt idx="0">
                  <c:v>Long Island</c:v>
                </c:pt>
                <c:pt idx="1">
                  <c:v>Nashville</c:v>
                </c:pt>
                <c:pt idx="2">
                  <c:v>Houston</c:v>
                </c:pt>
                <c:pt idx="3">
                  <c:v>Oxford</c:v>
                </c:pt>
                <c:pt idx="4">
                  <c:v>Van Nuys</c:v>
                </c:pt>
                <c:pt idx="5">
                  <c:v>Ft Lauderdale</c:v>
                </c:pt>
                <c:pt idx="6">
                  <c:v>St Paul</c:v>
                </c:pt>
                <c:pt idx="7">
                  <c:v>Manassas</c:v>
                </c:pt>
                <c:pt idx="8">
                  <c:v>Portland</c:v>
                </c:pt>
                <c:pt idx="9">
                  <c:v>Seattle</c:v>
                </c:pt>
                <c:pt idx="10">
                  <c:v>Sacramento</c:v>
                </c:pt>
                <c:pt idx="11">
                  <c:v>Denver</c:v>
                </c:pt>
                <c:pt idx="12">
                  <c:v>Sottsdale</c:v>
                </c:pt>
                <c:pt idx="13">
                  <c:v>Austin</c:v>
                </c:pt>
                <c:pt idx="14">
                  <c:v>Las Vegas</c:v>
                </c:pt>
                <c:pt idx="15">
                  <c:v>Dallas</c:v>
                </c:pt>
                <c:pt idx="16">
                  <c:v>Atlanta</c:v>
                </c:pt>
                <c:pt idx="17">
                  <c:v>Teterboro</c:v>
                </c:pt>
                <c:pt idx="18">
                  <c:v>Morristown</c:v>
                </c:pt>
                <c:pt idx="19">
                  <c:v>Kansas City</c:v>
                </c:pt>
                <c:pt idx="20">
                  <c:v>St Louis</c:v>
                </c:pt>
                <c:pt idx="21">
                  <c:v>Bedford</c:v>
                </c:pt>
                <c:pt idx="22">
                  <c:v>Group Average</c:v>
                </c:pt>
              </c:strCache>
            </c:strRef>
          </c:cat>
          <c:val>
            <c:numRef>
              <c:f>Summary!$G$2:$G$24</c:f>
              <c:numCache>
                <c:formatCode>General</c:formatCode>
                <c:ptCount val="23"/>
                <c:pt idx="0">
                  <c:v>7</c:v>
                </c:pt>
                <c:pt idx="1">
                  <c:v>0</c:v>
                </c:pt>
                <c:pt idx="2">
                  <c:v>7.1</c:v>
                </c:pt>
                <c:pt idx="3">
                  <c:v>5</c:v>
                </c:pt>
                <c:pt idx="4">
                  <c:v>4</c:v>
                </c:pt>
                <c:pt idx="5">
                  <c:v>7.6</c:v>
                </c:pt>
                <c:pt idx="6">
                  <c:v>1.9</c:v>
                </c:pt>
                <c:pt idx="7">
                  <c:v>3.2</c:v>
                </c:pt>
                <c:pt idx="8">
                  <c:v>1.2</c:v>
                </c:pt>
                <c:pt idx="9">
                  <c:v>8.6999999999999993</c:v>
                </c:pt>
                <c:pt idx="10">
                  <c:v>19.399999999999999</c:v>
                </c:pt>
                <c:pt idx="11">
                  <c:v>7.1</c:v>
                </c:pt>
                <c:pt idx="12">
                  <c:v>3.5</c:v>
                </c:pt>
                <c:pt idx="13">
                  <c:v>11.6</c:v>
                </c:pt>
                <c:pt idx="14">
                  <c:v>3.8</c:v>
                </c:pt>
                <c:pt idx="15">
                  <c:v>16</c:v>
                </c:pt>
                <c:pt idx="16">
                  <c:v>0.5</c:v>
                </c:pt>
                <c:pt idx="17">
                  <c:v>29.3</c:v>
                </c:pt>
                <c:pt idx="18">
                  <c:v>3.6</c:v>
                </c:pt>
                <c:pt idx="19">
                  <c:v>0.5</c:v>
                </c:pt>
                <c:pt idx="20" formatCode="0.0">
                  <c:v>0.2</c:v>
                </c:pt>
                <c:pt idx="21" formatCode="0.0">
                  <c:v>5.0999999999999996</c:v>
                </c:pt>
                <c:pt idx="22" formatCode="0.0">
                  <c:v>6.6499999999999977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8F9-4BEC-A0F1-637983666F66}"/>
            </c:ext>
          </c:extLst>
        </c:ser>
        <c:ser>
          <c:idx val="6"/>
          <c:order val="6"/>
          <c:tx>
            <c:strRef>
              <c:f>Summary!$H$1</c:f>
              <c:strCache>
                <c:ptCount val="1"/>
                <c:pt idx="0">
                  <c:v>Jul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Summary!$A$2:$A$24</c:f>
              <c:strCache>
                <c:ptCount val="23"/>
                <c:pt idx="0">
                  <c:v>Long Island</c:v>
                </c:pt>
                <c:pt idx="1">
                  <c:v>Nashville</c:v>
                </c:pt>
                <c:pt idx="2">
                  <c:v>Houston</c:v>
                </c:pt>
                <c:pt idx="3">
                  <c:v>Oxford</c:v>
                </c:pt>
                <c:pt idx="4">
                  <c:v>Van Nuys</c:v>
                </c:pt>
                <c:pt idx="5">
                  <c:v>Ft Lauderdale</c:v>
                </c:pt>
                <c:pt idx="6">
                  <c:v>St Paul</c:v>
                </c:pt>
                <c:pt idx="7">
                  <c:v>Manassas</c:v>
                </c:pt>
                <c:pt idx="8">
                  <c:v>Portland</c:v>
                </c:pt>
                <c:pt idx="9">
                  <c:v>Seattle</c:v>
                </c:pt>
                <c:pt idx="10">
                  <c:v>Sacramento</c:v>
                </c:pt>
                <c:pt idx="11">
                  <c:v>Denver</c:v>
                </c:pt>
                <c:pt idx="12">
                  <c:v>Sottsdale</c:v>
                </c:pt>
                <c:pt idx="13">
                  <c:v>Austin</c:v>
                </c:pt>
                <c:pt idx="14">
                  <c:v>Las Vegas</c:v>
                </c:pt>
                <c:pt idx="15">
                  <c:v>Dallas</c:v>
                </c:pt>
                <c:pt idx="16">
                  <c:v>Atlanta</c:v>
                </c:pt>
                <c:pt idx="17">
                  <c:v>Teterboro</c:v>
                </c:pt>
                <c:pt idx="18">
                  <c:v>Morristown</c:v>
                </c:pt>
                <c:pt idx="19">
                  <c:v>Kansas City</c:v>
                </c:pt>
                <c:pt idx="20">
                  <c:v>St Louis</c:v>
                </c:pt>
                <c:pt idx="21">
                  <c:v>Bedford</c:v>
                </c:pt>
                <c:pt idx="22">
                  <c:v>Group Average</c:v>
                </c:pt>
              </c:strCache>
            </c:strRef>
          </c:cat>
          <c:val>
            <c:numRef>
              <c:f>Summary!$H$2:$H$24</c:f>
              <c:numCache>
                <c:formatCode>General</c:formatCode>
                <c:ptCount val="23"/>
                <c:pt idx="0">
                  <c:v>3.6</c:v>
                </c:pt>
                <c:pt idx="1">
                  <c:v>0.7</c:v>
                </c:pt>
                <c:pt idx="2">
                  <c:v>11.6</c:v>
                </c:pt>
                <c:pt idx="3">
                  <c:v>3.9</c:v>
                </c:pt>
                <c:pt idx="4">
                  <c:v>11.6</c:v>
                </c:pt>
                <c:pt idx="5">
                  <c:v>5.3</c:v>
                </c:pt>
                <c:pt idx="6">
                  <c:v>2.5</c:v>
                </c:pt>
                <c:pt idx="7">
                  <c:v>5</c:v>
                </c:pt>
                <c:pt idx="8">
                  <c:v>4</c:v>
                </c:pt>
                <c:pt idx="9">
                  <c:v>3.9</c:v>
                </c:pt>
                <c:pt idx="10">
                  <c:v>11.3</c:v>
                </c:pt>
                <c:pt idx="11">
                  <c:v>4</c:v>
                </c:pt>
                <c:pt idx="12">
                  <c:v>3.5</c:v>
                </c:pt>
                <c:pt idx="13">
                  <c:v>8.6</c:v>
                </c:pt>
                <c:pt idx="14">
                  <c:v>4.5999999999999996</c:v>
                </c:pt>
                <c:pt idx="15">
                  <c:v>1.8</c:v>
                </c:pt>
                <c:pt idx="16">
                  <c:v>1.9</c:v>
                </c:pt>
                <c:pt idx="17">
                  <c:v>26.7</c:v>
                </c:pt>
                <c:pt idx="18">
                  <c:v>5.0999999999999996</c:v>
                </c:pt>
                <c:pt idx="19">
                  <c:v>0.1</c:v>
                </c:pt>
                <c:pt idx="20" formatCode="0.0">
                  <c:v>2.5</c:v>
                </c:pt>
                <c:pt idx="21" formatCode="0.0">
                  <c:v>3.6</c:v>
                </c:pt>
                <c:pt idx="22" formatCode="0.0">
                  <c:v>5.7181818181818169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8F9-4BEC-A0F1-637983666F66}"/>
            </c:ext>
          </c:extLst>
        </c:ser>
        <c:ser>
          <c:idx val="7"/>
          <c:order val="7"/>
          <c:tx>
            <c:strRef>
              <c:f>Summary!$I$1</c:f>
              <c:strCache>
                <c:ptCount val="1"/>
                <c:pt idx="0">
                  <c:v>Aug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Summary!$A$2:$A$24</c:f>
              <c:strCache>
                <c:ptCount val="23"/>
                <c:pt idx="0">
                  <c:v>Long Island</c:v>
                </c:pt>
                <c:pt idx="1">
                  <c:v>Nashville</c:v>
                </c:pt>
                <c:pt idx="2">
                  <c:v>Houston</c:v>
                </c:pt>
                <c:pt idx="3">
                  <c:v>Oxford</c:v>
                </c:pt>
                <c:pt idx="4">
                  <c:v>Van Nuys</c:v>
                </c:pt>
                <c:pt idx="5">
                  <c:v>Ft Lauderdale</c:v>
                </c:pt>
                <c:pt idx="6">
                  <c:v>St Paul</c:v>
                </c:pt>
                <c:pt idx="7">
                  <c:v>Manassas</c:v>
                </c:pt>
                <c:pt idx="8">
                  <c:v>Portland</c:v>
                </c:pt>
                <c:pt idx="9">
                  <c:v>Seattle</c:v>
                </c:pt>
                <c:pt idx="10">
                  <c:v>Sacramento</c:v>
                </c:pt>
                <c:pt idx="11">
                  <c:v>Denver</c:v>
                </c:pt>
                <c:pt idx="12">
                  <c:v>Sottsdale</c:v>
                </c:pt>
                <c:pt idx="13">
                  <c:v>Austin</c:v>
                </c:pt>
                <c:pt idx="14">
                  <c:v>Las Vegas</c:v>
                </c:pt>
                <c:pt idx="15">
                  <c:v>Dallas</c:v>
                </c:pt>
                <c:pt idx="16">
                  <c:v>Atlanta</c:v>
                </c:pt>
                <c:pt idx="17">
                  <c:v>Teterboro</c:v>
                </c:pt>
                <c:pt idx="18">
                  <c:v>Morristown</c:v>
                </c:pt>
                <c:pt idx="19">
                  <c:v>Kansas City</c:v>
                </c:pt>
                <c:pt idx="20">
                  <c:v>St Louis</c:v>
                </c:pt>
                <c:pt idx="21">
                  <c:v>Bedford</c:v>
                </c:pt>
                <c:pt idx="22">
                  <c:v>Group Average</c:v>
                </c:pt>
              </c:strCache>
            </c:strRef>
          </c:cat>
          <c:val>
            <c:numRef>
              <c:f>Summary!$I$2:$I$24</c:f>
              <c:numCache>
                <c:formatCode>General</c:formatCode>
                <c:ptCount val="23"/>
                <c:pt idx="0">
                  <c:v>6.2</c:v>
                </c:pt>
                <c:pt idx="1">
                  <c:v>0</c:v>
                </c:pt>
                <c:pt idx="2">
                  <c:v>7.8</c:v>
                </c:pt>
                <c:pt idx="3">
                  <c:v>9.6</c:v>
                </c:pt>
                <c:pt idx="4">
                  <c:v>7.5</c:v>
                </c:pt>
                <c:pt idx="5">
                  <c:v>3.8</c:v>
                </c:pt>
                <c:pt idx="6">
                  <c:v>0.1</c:v>
                </c:pt>
                <c:pt idx="7">
                  <c:v>3</c:v>
                </c:pt>
                <c:pt idx="8">
                  <c:v>2.6</c:v>
                </c:pt>
                <c:pt idx="9">
                  <c:v>1.3</c:v>
                </c:pt>
                <c:pt idx="10">
                  <c:v>8.5</c:v>
                </c:pt>
                <c:pt idx="11">
                  <c:v>2.2000000000000002</c:v>
                </c:pt>
                <c:pt idx="12">
                  <c:v>3.4</c:v>
                </c:pt>
                <c:pt idx="13">
                  <c:v>4.9000000000000004</c:v>
                </c:pt>
                <c:pt idx="14">
                  <c:v>4.8</c:v>
                </c:pt>
                <c:pt idx="15">
                  <c:v>3.3</c:v>
                </c:pt>
                <c:pt idx="16">
                  <c:v>4.7</c:v>
                </c:pt>
                <c:pt idx="17">
                  <c:v>21.5</c:v>
                </c:pt>
                <c:pt idx="18">
                  <c:v>6.2</c:v>
                </c:pt>
                <c:pt idx="19">
                  <c:v>2.5</c:v>
                </c:pt>
                <c:pt idx="20" formatCode="0.0">
                  <c:v>3.7</c:v>
                </c:pt>
                <c:pt idx="21" formatCode="0.0">
                  <c:v>6.3</c:v>
                </c:pt>
                <c:pt idx="22" formatCode="0.0">
                  <c:v>4.8909090909090915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8F9-4BEC-A0F1-637983666F66}"/>
            </c:ext>
          </c:extLst>
        </c:ser>
        <c:ser>
          <c:idx val="8"/>
          <c:order val="8"/>
          <c:tx>
            <c:strRef>
              <c:f>Summary!$J$1</c:f>
              <c:strCache>
                <c:ptCount val="1"/>
                <c:pt idx="0">
                  <c:v>Sep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Summary!$A$2:$A$24</c:f>
              <c:strCache>
                <c:ptCount val="23"/>
                <c:pt idx="0">
                  <c:v>Long Island</c:v>
                </c:pt>
                <c:pt idx="1">
                  <c:v>Nashville</c:v>
                </c:pt>
                <c:pt idx="2">
                  <c:v>Houston</c:v>
                </c:pt>
                <c:pt idx="3">
                  <c:v>Oxford</c:v>
                </c:pt>
                <c:pt idx="4">
                  <c:v>Van Nuys</c:v>
                </c:pt>
                <c:pt idx="5">
                  <c:v>Ft Lauderdale</c:v>
                </c:pt>
                <c:pt idx="6">
                  <c:v>St Paul</c:v>
                </c:pt>
                <c:pt idx="7">
                  <c:v>Manassas</c:v>
                </c:pt>
                <c:pt idx="8">
                  <c:v>Portland</c:v>
                </c:pt>
                <c:pt idx="9">
                  <c:v>Seattle</c:v>
                </c:pt>
                <c:pt idx="10">
                  <c:v>Sacramento</c:v>
                </c:pt>
                <c:pt idx="11">
                  <c:v>Denver</c:v>
                </c:pt>
                <c:pt idx="12">
                  <c:v>Sottsdale</c:v>
                </c:pt>
                <c:pt idx="13">
                  <c:v>Austin</c:v>
                </c:pt>
                <c:pt idx="14">
                  <c:v>Las Vegas</c:v>
                </c:pt>
                <c:pt idx="15">
                  <c:v>Dallas</c:v>
                </c:pt>
                <c:pt idx="16">
                  <c:v>Atlanta</c:v>
                </c:pt>
                <c:pt idx="17">
                  <c:v>Teterboro</c:v>
                </c:pt>
                <c:pt idx="18">
                  <c:v>Morristown</c:v>
                </c:pt>
                <c:pt idx="19">
                  <c:v>Kansas City</c:v>
                </c:pt>
                <c:pt idx="20">
                  <c:v>St Louis</c:v>
                </c:pt>
                <c:pt idx="21">
                  <c:v>Bedford</c:v>
                </c:pt>
                <c:pt idx="22">
                  <c:v>Group Average</c:v>
                </c:pt>
              </c:strCache>
            </c:strRef>
          </c:cat>
          <c:val>
            <c:numRef>
              <c:f>Summary!$J$2:$J$24</c:f>
              <c:numCache>
                <c:formatCode>General</c:formatCode>
                <c:ptCount val="23"/>
                <c:pt idx="0">
                  <c:v>6.1</c:v>
                </c:pt>
                <c:pt idx="1">
                  <c:v>0</c:v>
                </c:pt>
                <c:pt idx="2">
                  <c:v>14.1</c:v>
                </c:pt>
                <c:pt idx="3">
                  <c:v>7</c:v>
                </c:pt>
                <c:pt idx="4">
                  <c:v>5.0999999999999996</c:v>
                </c:pt>
                <c:pt idx="5">
                  <c:v>2.1</c:v>
                </c:pt>
                <c:pt idx="6">
                  <c:v>1.5</c:v>
                </c:pt>
                <c:pt idx="7">
                  <c:v>4.5999999999999996</c:v>
                </c:pt>
                <c:pt idx="8">
                  <c:v>3.3</c:v>
                </c:pt>
                <c:pt idx="9">
                  <c:v>1.9</c:v>
                </c:pt>
                <c:pt idx="10">
                  <c:v>11.6</c:v>
                </c:pt>
                <c:pt idx="11">
                  <c:v>6.7</c:v>
                </c:pt>
                <c:pt idx="12">
                  <c:v>7</c:v>
                </c:pt>
                <c:pt idx="13">
                  <c:v>7.8</c:v>
                </c:pt>
                <c:pt idx="14">
                  <c:v>3.4</c:v>
                </c:pt>
                <c:pt idx="15">
                  <c:v>6</c:v>
                </c:pt>
                <c:pt idx="16">
                  <c:v>1.6</c:v>
                </c:pt>
                <c:pt idx="17">
                  <c:v>34.200000000000003</c:v>
                </c:pt>
                <c:pt idx="18">
                  <c:v>7.6</c:v>
                </c:pt>
                <c:pt idx="19">
                  <c:v>0.2</c:v>
                </c:pt>
                <c:pt idx="20" formatCode="0.0">
                  <c:v>5.7</c:v>
                </c:pt>
                <c:pt idx="21">
                  <c:v>5.4</c:v>
                </c:pt>
                <c:pt idx="22" formatCode="0.0">
                  <c:v>6.4954545454545443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8F9-4BEC-A0F1-637983666F66}"/>
            </c:ext>
          </c:extLst>
        </c:ser>
        <c:ser>
          <c:idx val="9"/>
          <c:order val="9"/>
          <c:tx>
            <c:strRef>
              <c:f>Summary!$K$1</c:f>
              <c:strCache>
                <c:ptCount val="1"/>
                <c:pt idx="0">
                  <c:v>Oct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Summary!$A$2:$A$24</c:f>
              <c:strCache>
                <c:ptCount val="23"/>
                <c:pt idx="0">
                  <c:v>Long Island</c:v>
                </c:pt>
                <c:pt idx="1">
                  <c:v>Nashville</c:v>
                </c:pt>
                <c:pt idx="2">
                  <c:v>Houston</c:v>
                </c:pt>
                <c:pt idx="3">
                  <c:v>Oxford</c:v>
                </c:pt>
                <c:pt idx="4">
                  <c:v>Van Nuys</c:v>
                </c:pt>
                <c:pt idx="5">
                  <c:v>Ft Lauderdale</c:v>
                </c:pt>
                <c:pt idx="6">
                  <c:v>St Paul</c:v>
                </c:pt>
                <c:pt idx="7">
                  <c:v>Manassas</c:v>
                </c:pt>
                <c:pt idx="8">
                  <c:v>Portland</c:v>
                </c:pt>
                <c:pt idx="9">
                  <c:v>Seattle</c:v>
                </c:pt>
                <c:pt idx="10">
                  <c:v>Sacramento</c:v>
                </c:pt>
                <c:pt idx="11">
                  <c:v>Denver</c:v>
                </c:pt>
                <c:pt idx="12">
                  <c:v>Sottsdale</c:v>
                </c:pt>
                <c:pt idx="13">
                  <c:v>Austin</c:v>
                </c:pt>
                <c:pt idx="14">
                  <c:v>Las Vegas</c:v>
                </c:pt>
                <c:pt idx="15">
                  <c:v>Dallas</c:v>
                </c:pt>
                <c:pt idx="16">
                  <c:v>Atlanta</c:v>
                </c:pt>
                <c:pt idx="17">
                  <c:v>Teterboro</c:v>
                </c:pt>
                <c:pt idx="18">
                  <c:v>Morristown</c:v>
                </c:pt>
                <c:pt idx="19">
                  <c:v>Kansas City</c:v>
                </c:pt>
                <c:pt idx="20">
                  <c:v>St Louis</c:v>
                </c:pt>
                <c:pt idx="21">
                  <c:v>Bedford</c:v>
                </c:pt>
                <c:pt idx="22">
                  <c:v>Group Average</c:v>
                </c:pt>
              </c:strCache>
            </c:strRef>
          </c:cat>
          <c:val>
            <c:numRef>
              <c:f>Summary!$K$2:$K$24</c:f>
              <c:numCache>
                <c:formatCode>General</c:formatCode>
                <c:ptCount val="23"/>
                <c:pt idx="0">
                  <c:v>5</c:v>
                </c:pt>
                <c:pt idx="1">
                  <c:v>0.2</c:v>
                </c:pt>
                <c:pt idx="2">
                  <c:v>11.7</c:v>
                </c:pt>
                <c:pt idx="3">
                  <c:v>5.7</c:v>
                </c:pt>
                <c:pt idx="4">
                  <c:v>5</c:v>
                </c:pt>
                <c:pt idx="5">
                  <c:v>4.2</c:v>
                </c:pt>
                <c:pt idx="6">
                  <c:v>1.3</c:v>
                </c:pt>
                <c:pt idx="7">
                  <c:v>11.3</c:v>
                </c:pt>
                <c:pt idx="8">
                  <c:v>4.3</c:v>
                </c:pt>
                <c:pt idx="9">
                  <c:v>16.899999999999999</c:v>
                </c:pt>
                <c:pt idx="10">
                  <c:v>9.4</c:v>
                </c:pt>
                <c:pt idx="11">
                  <c:v>5.9</c:v>
                </c:pt>
                <c:pt idx="12">
                  <c:v>2.5</c:v>
                </c:pt>
                <c:pt idx="13">
                  <c:v>2.8</c:v>
                </c:pt>
                <c:pt idx="14">
                  <c:v>4.2</c:v>
                </c:pt>
                <c:pt idx="15">
                  <c:v>1.8</c:v>
                </c:pt>
                <c:pt idx="16">
                  <c:v>0.3</c:v>
                </c:pt>
                <c:pt idx="17">
                  <c:v>17.2</c:v>
                </c:pt>
                <c:pt idx="18">
                  <c:v>3.4</c:v>
                </c:pt>
                <c:pt idx="19">
                  <c:v>0.2</c:v>
                </c:pt>
                <c:pt idx="20" formatCode="0.0">
                  <c:v>3.1</c:v>
                </c:pt>
                <c:pt idx="21" formatCode="0.0">
                  <c:v>5.4</c:v>
                </c:pt>
                <c:pt idx="22" formatCode="0.0">
                  <c:v>5.536363636363637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8F9-4BEC-A0F1-637983666F66}"/>
            </c:ext>
          </c:extLst>
        </c:ser>
        <c:ser>
          <c:idx val="10"/>
          <c:order val="10"/>
          <c:tx>
            <c:strRef>
              <c:f>Summary!$L$1</c:f>
              <c:strCache>
                <c:ptCount val="1"/>
                <c:pt idx="0">
                  <c:v>Nov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Summary!$A$2:$A$24</c:f>
              <c:strCache>
                <c:ptCount val="23"/>
                <c:pt idx="0">
                  <c:v>Long Island</c:v>
                </c:pt>
                <c:pt idx="1">
                  <c:v>Nashville</c:v>
                </c:pt>
                <c:pt idx="2">
                  <c:v>Houston</c:v>
                </c:pt>
                <c:pt idx="3">
                  <c:v>Oxford</c:v>
                </c:pt>
                <c:pt idx="4">
                  <c:v>Van Nuys</c:v>
                </c:pt>
                <c:pt idx="5">
                  <c:v>Ft Lauderdale</c:v>
                </c:pt>
                <c:pt idx="6">
                  <c:v>St Paul</c:v>
                </c:pt>
                <c:pt idx="7">
                  <c:v>Manassas</c:v>
                </c:pt>
                <c:pt idx="8">
                  <c:v>Portland</c:v>
                </c:pt>
                <c:pt idx="9">
                  <c:v>Seattle</c:v>
                </c:pt>
                <c:pt idx="10">
                  <c:v>Sacramento</c:v>
                </c:pt>
                <c:pt idx="11">
                  <c:v>Denver</c:v>
                </c:pt>
                <c:pt idx="12">
                  <c:v>Sottsdale</c:v>
                </c:pt>
                <c:pt idx="13">
                  <c:v>Austin</c:v>
                </c:pt>
                <c:pt idx="14">
                  <c:v>Las Vegas</c:v>
                </c:pt>
                <c:pt idx="15">
                  <c:v>Dallas</c:v>
                </c:pt>
                <c:pt idx="16">
                  <c:v>Atlanta</c:v>
                </c:pt>
                <c:pt idx="17">
                  <c:v>Teterboro</c:v>
                </c:pt>
                <c:pt idx="18">
                  <c:v>Morristown</c:v>
                </c:pt>
                <c:pt idx="19">
                  <c:v>Kansas City</c:v>
                </c:pt>
                <c:pt idx="20">
                  <c:v>St Louis</c:v>
                </c:pt>
                <c:pt idx="21">
                  <c:v>Bedford</c:v>
                </c:pt>
                <c:pt idx="22">
                  <c:v>Group Average</c:v>
                </c:pt>
              </c:strCache>
            </c:strRef>
          </c:cat>
          <c:val>
            <c:numRef>
              <c:f>Summary!$L$2:$L$24</c:f>
              <c:numCache>
                <c:formatCode>General</c:formatCode>
                <c:ptCount val="23"/>
                <c:pt idx="0">
                  <c:v>3.3</c:v>
                </c:pt>
                <c:pt idx="1">
                  <c:v>0</c:v>
                </c:pt>
                <c:pt idx="2">
                  <c:v>16.100000000000001</c:v>
                </c:pt>
                <c:pt idx="3">
                  <c:v>4.8</c:v>
                </c:pt>
                <c:pt idx="4">
                  <c:v>7</c:v>
                </c:pt>
                <c:pt idx="5">
                  <c:v>4.7</c:v>
                </c:pt>
                <c:pt idx="6">
                  <c:v>0.5</c:v>
                </c:pt>
                <c:pt idx="7">
                  <c:v>13.4</c:v>
                </c:pt>
                <c:pt idx="8">
                  <c:v>2.1</c:v>
                </c:pt>
                <c:pt idx="9">
                  <c:v>1.2</c:v>
                </c:pt>
                <c:pt idx="10">
                  <c:v>16.899999999999999</c:v>
                </c:pt>
                <c:pt idx="11">
                  <c:v>4.9000000000000004</c:v>
                </c:pt>
                <c:pt idx="12">
                  <c:v>4</c:v>
                </c:pt>
                <c:pt idx="13">
                  <c:v>2.1</c:v>
                </c:pt>
                <c:pt idx="14">
                  <c:v>4.9000000000000004</c:v>
                </c:pt>
                <c:pt idx="15">
                  <c:v>8.3000000000000007</c:v>
                </c:pt>
                <c:pt idx="16">
                  <c:v>0</c:v>
                </c:pt>
                <c:pt idx="17">
                  <c:v>16.7</c:v>
                </c:pt>
                <c:pt idx="18">
                  <c:v>12.5</c:v>
                </c:pt>
                <c:pt idx="19">
                  <c:v>0.6</c:v>
                </c:pt>
                <c:pt idx="20" formatCode="0.0">
                  <c:v>1.7</c:v>
                </c:pt>
                <c:pt idx="21" formatCode="0.0">
                  <c:v>6.6</c:v>
                </c:pt>
                <c:pt idx="22" formatCode="0.0">
                  <c:v>6.0136363636363646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8F9-4BEC-A0F1-637983666F66}"/>
            </c:ext>
          </c:extLst>
        </c:ser>
        <c:ser>
          <c:idx val="11"/>
          <c:order val="11"/>
          <c:tx>
            <c:strRef>
              <c:f>Summary!$M$1</c:f>
              <c:strCache>
                <c:ptCount val="1"/>
                <c:pt idx="0">
                  <c:v>Dec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Summary!$A$2:$A$24</c:f>
              <c:strCache>
                <c:ptCount val="23"/>
                <c:pt idx="0">
                  <c:v>Long Island</c:v>
                </c:pt>
                <c:pt idx="1">
                  <c:v>Nashville</c:v>
                </c:pt>
                <c:pt idx="2">
                  <c:v>Houston</c:v>
                </c:pt>
                <c:pt idx="3">
                  <c:v>Oxford</c:v>
                </c:pt>
                <c:pt idx="4">
                  <c:v>Van Nuys</c:v>
                </c:pt>
                <c:pt idx="5">
                  <c:v>Ft Lauderdale</c:v>
                </c:pt>
                <c:pt idx="6">
                  <c:v>St Paul</c:v>
                </c:pt>
                <c:pt idx="7">
                  <c:v>Manassas</c:v>
                </c:pt>
                <c:pt idx="8">
                  <c:v>Portland</c:v>
                </c:pt>
                <c:pt idx="9">
                  <c:v>Seattle</c:v>
                </c:pt>
                <c:pt idx="10">
                  <c:v>Sacramento</c:v>
                </c:pt>
                <c:pt idx="11">
                  <c:v>Denver</c:v>
                </c:pt>
                <c:pt idx="12">
                  <c:v>Sottsdale</c:v>
                </c:pt>
                <c:pt idx="13">
                  <c:v>Austin</c:v>
                </c:pt>
                <c:pt idx="14">
                  <c:v>Las Vegas</c:v>
                </c:pt>
                <c:pt idx="15">
                  <c:v>Dallas</c:v>
                </c:pt>
                <c:pt idx="16">
                  <c:v>Atlanta</c:v>
                </c:pt>
                <c:pt idx="17">
                  <c:v>Teterboro</c:v>
                </c:pt>
                <c:pt idx="18">
                  <c:v>Morristown</c:v>
                </c:pt>
                <c:pt idx="19">
                  <c:v>Kansas City</c:v>
                </c:pt>
                <c:pt idx="20">
                  <c:v>St Louis</c:v>
                </c:pt>
                <c:pt idx="21">
                  <c:v>Bedford</c:v>
                </c:pt>
                <c:pt idx="22">
                  <c:v>Group Average</c:v>
                </c:pt>
              </c:strCache>
            </c:strRef>
          </c:cat>
          <c:val>
            <c:numRef>
              <c:f>Summary!$M$2:$M$24</c:f>
              <c:numCache>
                <c:formatCode>General</c:formatCode>
                <c:ptCount val="23"/>
                <c:pt idx="0">
                  <c:v>2.9</c:v>
                </c:pt>
                <c:pt idx="1">
                  <c:v>0</c:v>
                </c:pt>
                <c:pt idx="2">
                  <c:v>10.9</c:v>
                </c:pt>
                <c:pt idx="3">
                  <c:v>10.1</c:v>
                </c:pt>
                <c:pt idx="4">
                  <c:v>7.3</c:v>
                </c:pt>
                <c:pt idx="5">
                  <c:v>8.3000000000000007</c:v>
                </c:pt>
                <c:pt idx="6">
                  <c:v>1.8</c:v>
                </c:pt>
                <c:pt idx="7">
                  <c:v>14</c:v>
                </c:pt>
                <c:pt idx="8">
                  <c:v>6.1</c:v>
                </c:pt>
                <c:pt idx="9">
                  <c:v>2.5</c:v>
                </c:pt>
                <c:pt idx="10">
                  <c:v>20.2</c:v>
                </c:pt>
                <c:pt idx="11">
                  <c:v>8.4</c:v>
                </c:pt>
                <c:pt idx="12">
                  <c:v>6.5</c:v>
                </c:pt>
                <c:pt idx="13">
                  <c:v>11.8</c:v>
                </c:pt>
                <c:pt idx="14">
                  <c:v>4.8</c:v>
                </c:pt>
                <c:pt idx="15">
                  <c:v>7.6</c:v>
                </c:pt>
                <c:pt idx="16">
                  <c:v>2.6</c:v>
                </c:pt>
                <c:pt idx="17">
                  <c:v>29.3</c:v>
                </c:pt>
                <c:pt idx="18">
                  <c:v>3.7</c:v>
                </c:pt>
                <c:pt idx="19">
                  <c:v>0.6</c:v>
                </c:pt>
                <c:pt idx="20" formatCode="0.0">
                  <c:v>4.5</c:v>
                </c:pt>
                <c:pt idx="21" formatCode="0.0">
                  <c:v>7.3</c:v>
                </c:pt>
                <c:pt idx="22" formatCode="0.0">
                  <c:v>7.7818181818181813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8F9-4BEC-A0F1-637983666F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86915856"/>
        <c:axId val="553036080"/>
      </c:barChart>
      <c:lineChart>
        <c:grouping val="standard"/>
        <c:varyColors val="0"/>
        <c:ser>
          <c:idx val="12"/>
          <c:order val="12"/>
          <c:tx>
            <c:strRef>
              <c:f>Summary!$O$1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Summary!$A$2:$A$24</c:f>
              <c:strCache>
                <c:ptCount val="23"/>
                <c:pt idx="0">
                  <c:v>Long Island</c:v>
                </c:pt>
                <c:pt idx="1">
                  <c:v>Nashville</c:v>
                </c:pt>
                <c:pt idx="2">
                  <c:v>Houston</c:v>
                </c:pt>
                <c:pt idx="3">
                  <c:v>Oxford</c:v>
                </c:pt>
                <c:pt idx="4">
                  <c:v>Van Nuys</c:v>
                </c:pt>
                <c:pt idx="5">
                  <c:v>Ft Lauderdale</c:v>
                </c:pt>
                <c:pt idx="6">
                  <c:v>St Paul</c:v>
                </c:pt>
                <c:pt idx="7">
                  <c:v>Manassas</c:v>
                </c:pt>
                <c:pt idx="8">
                  <c:v>Portland</c:v>
                </c:pt>
                <c:pt idx="9">
                  <c:v>Seattle</c:v>
                </c:pt>
                <c:pt idx="10">
                  <c:v>Sacramento</c:v>
                </c:pt>
                <c:pt idx="11">
                  <c:v>Denver</c:v>
                </c:pt>
                <c:pt idx="12">
                  <c:v>Sottsdale</c:v>
                </c:pt>
                <c:pt idx="13">
                  <c:v>Austin</c:v>
                </c:pt>
                <c:pt idx="14">
                  <c:v>Las Vegas</c:v>
                </c:pt>
                <c:pt idx="15">
                  <c:v>Dallas</c:v>
                </c:pt>
                <c:pt idx="16">
                  <c:v>Atlanta</c:v>
                </c:pt>
                <c:pt idx="17">
                  <c:v>Teterboro</c:v>
                </c:pt>
                <c:pt idx="18">
                  <c:v>Morristown</c:v>
                </c:pt>
                <c:pt idx="19">
                  <c:v>Kansas City</c:v>
                </c:pt>
                <c:pt idx="20">
                  <c:v>St Louis</c:v>
                </c:pt>
                <c:pt idx="21">
                  <c:v>Bedford</c:v>
                </c:pt>
                <c:pt idx="22">
                  <c:v>Group Average</c:v>
                </c:pt>
              </c:strCache>
            </c:strRef>
          </c:cat>
          <c:val>
            <c:numRef>
              <c:f>Summary!$O$2:$O$24</c:f>
              <c:numCache>
                <c:formatCode>General</c:formatCode>
                <c:ptCount val="23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DA-4237-8562-77A8B807F6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6915856"/>
        <c:axId val="553036080"/>
      </c:lineChart>
      <c:catAx>
        <c:axId val="38691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036080"/>
        <c:crosses val="autoZero"/>
        <c:auto val="1"/>
        <c:lblAlgn val="ctr"/>
        <c:lblOffset val="100"/>
        <c:noMultiLvlLbl val="0"/>
      </c:catAx>
      <c:valAx>
        <c:axId val="55303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915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solidFill>
            <a:srgbClr val="FF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38100</xdr:colOff>
      <xdr:row>0</xdr:row>
      <xdr:rowOff>0</xdr:rowOff>
    </xdr:from>
    <xdr:to>
      <xdr:col>34</xdr:col>
      <xdr:colOff>19050</xdr:colOff>
      <xdr:row>23</xdr:row>
      <xdr:rowOff>190499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827AF35-4296-43BB-8D73-D589686938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453E1-7384-4B72-9875-89E46C6DB3D6}">
  <dimension ref="A1:O24"/>
  <sheetViews>
    <sheetView tabSelected="1" workbookViewId="0"/>
  </sheetViews>
  <sheetFormatPr defaultRowHeight="15.75" customHeight="1" x14ac:dyDescent="0.25"/>
  <cols>
    <col min="1" max="1" width="13.33203125" style="22" bestFit="1" customWidth="1"/>
    <col min="2" max="6" width="5" style="22" bestFit="1" customWidth="1"/>
    <col min="7" max="7" width="5.5546875" style="22" bestFit="1" customWidth="1"/>
    <col min="8" max="9" width="5" style="22" bestFit="1" customWidth="1"/>
    <col min="10" max="10" width="5.5546875" style="22" bestFit="1" customWidth="1"/>
    <col min="11" max="12" width="5" style="22" bestFit="1" customWidth="1"/>
    <col min="13" max="13" width="6" style="22" bestFit="1" customWidth="1"/>
    <col min="14" max="14" width="6" style="22" customWidth="1"/>
    <col min="15" max="15" width="9.109375" style="22"/>
  </cols>
  <sheetData>
    <row r="1" spans="1:15" ht="15.75" customHeight="1" x14ac:dyDescent="0.25">
      <c r="A1" s="23" t="s">
        <v>51</v>
      </c>
      <c r="B1" s="23" t="s">
        <v>52</v>
      </c>
      <c r="C1" s="23" t="s">
        <v>53</v>
      </c>
      <c r="D1" s="23" t="s">
        <v>54</v>
      </c>
      <c r="E1" s="23" t="s">
        <v>55</v>
      </c>
      <c r="F1" s="23" t="s">
        <v>56</v>
      </c>
      <c r="G1" s="23" t="s">
        <v>57</v>
      </c>
      <c r="H1" s="23" t="s">
        <v>58</v>
      </c>
      <c r="I1" s="23" t="s">
        <v>59</v>
      </c>
      <c r="J1" s="23" t="s">
        <v>60</v>
      </c>
      <c r="K1" s="23" t="s">
        <v>61</v>
      </c>
      <c r="L1" s="23" t="s">
        <v>62</v>
      </c>
      <c r="M1" s="23" t="s">
        <v>63</v>
      </c>
      <c r="N1" s="23" t="s">
        <v>93</v>
      </c>
      <c r="O1" s="31" t="s">
        <v>66</v>
      </c>
    </row>
    <row r="2" spans="1:15" ht="15.75" customHeight="1" x14ac:dyDescent="0.25">
      <c r="A2" s="23" t="s">
        <v>94</v>
      </c>
      <c r="B2" s="52">
        <v>1.6</v>
      </c>
      <c r="C2" s="52">
        <v>2.6</v>
      </c>
      <c r="D2" s="55">
        <v>7.6</v>
      </c>
      <c r="E2" s="52">
        <v>5.2</v>
      </c>
      <c r="F2" s="52">
        <v>4.4000000000000004</v>
      </c>
      <c r="G2" s="55">
        <v>7</v>
      </c>
      <c r="H2" s="52">
        <v>3.6</v>
      </c>
      <c r="I2" s="52">
        <v>6.2</v>
      </c>
      <c r="J2" s="52">
        <v>6.1</v>
      </c>
      <c r="K2" s="52">
        <v>5</v>
      </c>
      <c r="L2" s="52">
        <v>3.3</v>
      </c>
      <c r="M2" s="52">
        <v>2.9</v>
      </c>
      <c r="N2" s="46">
        <f>SUM(B2:M2)/12</f>
        <v>4.625</v>
      </c>
      <c r="O2" s="31">
        <v>7</v>
      </c>
    </row>
    <row r="3" spans="1:15" ht="15.75" customHeight="1" x14ac:dyDescent="0.25">
      <c r="A3" s="23" t="s">
        <v>89</v>
      </c>
      <c r="B3" s="52">
        <v>0.6</v>
      </c>
      <c r="C3" s="52">
        <v>0</v>
      </c>
      <c r="D3" s="52">
        <v>0</v>
      </c>
      <c r="E3" s="52">
        <v>0</v>
      </c>
      <c r="F3" s="52">
        <v>0</v>
      </c>
      <c r="G3" s="52">
        <v>0</v>
      </c>
      <c r="H3" s="52">
        <v>0.7</v>
      </c>
      <c r="I3" s="52">
        <v>0</v>
      </c>
      <c r="J3" s="52">
        <v>0</v>
      </c>
      <c r="K3" s="52">
        <v>0.2</v>
      </c>
      <c r="L3" s="52">
        <v>0</v>
      </c>
      <c r="M3" s="52">
        <v>0</v>
      </c>
      <c r="N3" s="46">
        <f t="shared" ref="N3:N24" si="0">SUM(B3:M3)/12</f>
        <v>0.12499999999999999</v>
      </c>
      <c r="O3" s="31">
        <v>7</v>
      </c>
    </row>
    <row r="4" spans="1:15" ht="15.75" customHeight="1" x14ac:dyDescent="0.25">
      <c r="A4" s="23" t="s">
        <v>67</v>
      </c>
      <c r="B4" s="55">
        <v>8.1999999999999993</v>
      </c>
      <c r="C4" s="55">
        <v>18.3</v>
      </c>
      <c r="D4" s="55">
        <v>16.8</v>
      </c>
      <c r="E4" s="55">
        <v>7.3</v>
      </c>
      <c r="F4" s="55">
        <v>10.1</v>
      </c>
      <c r="G4" s="55">
        <v>7.1</v>
      </c>
      <c r="H4" s="55">
        <v>11.6</v>
      </c>
      <c r="I4" s="55">
        <v>7.8</v>
      </c>
      <c r="J4" s="55">
        <v>14.1</v>
      </c>
      <c r="K4" s="55">
        <v>11.7</v>
      </c>
      <c r="L4" s="55">
        <v>16.100000000000001</v>
      </c>
      <c r="M4" s="55">
        <v>10.9</v>
      </c>
      <c r="N4" s="56">
        <f t="shared" si="0"/>
        <v>11.666666666666666</v>
      </c>
      <c r="O4" s="31">
        <v>7</v>
      </c>
    </row>
    <row r="5" spans="1:15" ht="15.75" customHeight="1" x14ac:dyDescent="0.25">
      <c r="A5" s="23" t="s">
        <v>68</v>
      </c>
      <c r="B5" s="55">
        <v>7.1</v>
      </c>
      <c r="C5" s="52">
        <v>6.4</v>
      </c>
      <c r="D5" s="55">
        <v>7.3</v>
      </c>
      <c r="E5" s="55">
        <v>7.5</v>
      </c>
      <c r="F5" s="52">
        <v>5.3</v>
      </c>
      <c r="G5" s="53">
        <v>5</v>
      </c>
      <c r="H5" s="52">
        <v>3.9</v>
      </c>
      <c r="I5" s="52">
        <v>9.6</v>
      </c>
      <c r="J5" s="52">
        <v>7</v>
      </c>
      <c r="K5" s="52">
        <v>5.7</v>
      </c>
      <c r="L5" s="52">
        <v>4.8</v>
      </c>
      <c r="M5" s="55">
        <v>10.1</v>
      </c>
      <c r="N5" s="46">
        <f t="shared" si="0"/>
        <v>6.6416666666666657</v>
      </c>
      <c r="O5" s="31">
        <v>7</v>
      </c>
    </row>
    <row r="6" spans="1:15" ht="15.75" customHeight="1" x14ac:dyDescent="0.25">
      <c r="A6" s="23" t="s">
        <v>69</v>
      </c>
      <c r="B6" s="52">
        <v>3.7</v>
      </c>
      <c r="C6" s="52">
        <v>4.4000000000000004</v>
      </c>
      <c r="D6" s="53">
        <v>4.3</v>
      </c>
      <c r="E6" s="52">
        <v>3.3</v>
      </c>
      <c r="F6" s="52">
        <v>3.5</v>
      </c>
      <c r="G6" s="53">
        <v>4</v>
      </c>
      <c r="H6" s="55">
        <v>11.6</v>
      </c>
      <c r="I6" s="55">
        <v>7.5</v>
      </c>
      <c r="J6" s="53">
        <v>5.0999999999999996</v>
      </c>
      <c r="K6" s="53">
        <v>5</v>
      </c>
      <c r="L6" s="53">
        <v>7</v>
      </c>
      <c r="M6" s="55">
        <v>7.3</v>
      </c>
      <c r="N6" s="46">
        <f t="shared" si="0"/>
        <v>5.5583333333333336</v>
      </c>
      <c r="O6" s="31">
        <v>7</v>
      </c>
    </row>
    <row r="7" spans="1:15" ht="15.75" customHeight="1" x14ac:dyDescent="0.25">
      <c r="A7" s="23" t="s">
        <v>70</v>
      </c>
      <c r="B7" s="53">
        <v>3.7</v>
      </c>
      <c r="C7" s="55">
        <v>7.2</v>
      </c>
      <c r="D7" s="53">
        <v>6.5</v>
      </c>
      <c r="E7" s="53">
        <v>4.9000000000000004</v>
      </c>
      <c r="F7" s="53">
        <v>6.5</v>
      </c>
      <c r="G7" s="55">
        <v>7.6</v>
      </c>
      <c r="H7" s="53">
        <v>5.3</v>
      </c>
      <c r="I7" s="53">
        <v>3.8</v>
      </c>
      <c r="J7" s="53">
        <v>2.1</v>
      </c>
      <c r="K7" s="53">
        <v>4.2</v>
      </c>
      <c r="L7" s="53">
        <v>4.7</v>
      </c>
      <c r="M7" s="55">
        <v>8.3000000000000007</v>
      </c>
      <c r="N7" s="46">
        <f t="shared" si="0"/>
        <v>5.3999999999999995</v>
      </c>
      <c r="O7" s="31">
        <v>7</v>
      </c>
    </row>
    <row r="8" spans="1:15" ht="15.75" customHeight="1" x14ac:dyDescent="0.25">
      <c r="A8" s="23" t="s">
        <v>71</v>
      </c>
      <c r="B8" s="53">
        <v>2.7</v>
      </c>
      <c r="C8" s="53">
        <v>3.2</v>
      </c>
      <c r="D8" s="53">
        <v>1.2</v>
      </c>
      <c r="E8" s="53">
        <v>0</v>
      </c>
      <c r="F8" s="53">
        <v>4</v>
      </c>
      <c r="G8" s="53">
        <v>1.9</v>
      </c>
      <c r="H8" s="53">
        <v>2.5</v>
      </c>
      <c r="I8" s="53">
        <v>0.1</v>
      </c>
      <c r="J8" s="53">
        <v>1.5</v>
      </c>
      <c r="K8" s="53">
        <v>1.3</v>
      </c>
      <c r="L8" s="53">
        <v>0.5</v>
      </c>
      <c r="M8" s="53">
        <v>1.8</v>
      </c>
      <c r="N8" s="46">
        <f t="shared" si="0"/>
        <v>1.7250000000000003</v>
      </c>
      <c r="O8" s="31">
        <v>7</v>
      </c>
    </row>
    <row r="9" spans="1:15" ht="15.75" customHeight="1" x14ac:dyDescent="0.25">
      <c r="A9" s="23" t="s">
        <v>72</v>
      </c>
      <c r="B9" s="53">
        <v>2.1</v>
      </c>
      <c r="C9" s="53">
        <v>1.4</v>
      </c>
      <c r="D9" s="53">
        <v>1.8</v>
      </c>
      <c r="E9" s="53">
        <v>3.4</v>
      </c>
      <c r="F9" s="53">
        <v>3.8</v>
      </c>
      <c r="G9" s="53">
        <v>3.2</v>
      </c>
      <c r="H9" s="53">
        <v>5</v>
      </c>
      <c r="I9" s="53">
        <v>3</v>
      </c>
      <c r="J9" s="53">
        <v>4.5999999999999996</v>
      </c>
      <c r="K9" s="55">
        <v>11.3</v>
      </c>
      <c r="L9" s="55">
        <v>13.4</v>
      </c>
      <c r="M9" s="55">
        <v>14</v>
      </c>
      <c r="N9" s="46">
        <f t="shared" si="0"/>
        <v>5.583333333333333</v>
      </c>
      <c r="O9" s="31">
        <v>7</v>
      </c>
    </row>
    <row r="10" spans="1:15" ht="15.75" customHeight="1" x14ac:dyDescent="0.25">
      <c r="A10" s="23" t="s">
        <v>73</v>
      </c>
      <c r="B10" s="53">
        <v>2.1</v>
      </c>
      <c r="C10" s="53">
        <v>2</v>
      </c>
      <c r="D10" s="53">
        <v>1.9</v>
      </c>
      <c r="E10" s="53">
        <v>1.6</v>
      </c>
      <c r="F10" s="53">
        <v>3.7</v>
      </c>
      <c r="G10" s="53">
        <v>1.2</v>
      </c>
      <c r="H10" s="53">
        <v>4</v>
      </c>
      <c r="I10" s="53">
        <v>2.6</v>
      </c>
      <c r="J10" s="53">
        <v>3.3</v>
      </c>
      <c r="K10" s="53">
        <v>4.3</v>
      </c>
      <c r="L10" s="53">
        <v>2.1</v>
      </c>
      <c r="M10" s="53">
        <v>6.1</v>
      </c>
      <c r="N10" s="46">
        <f t="shared" si="0"/>
        <v>2.9083333333333337</v>
      </c>
      <c r="O10" s="31">
        <v>7</v>
      </c>
    </row>
    <row r="11" spans="1:15" ht="15.75" customHeight="1" x14ac:dyDescent="0.25">
      <c r="A11" s="23" t="s">
        <v>74</v>
      </c>
      <c r="B11" s="53">
        <v>0.9</v>
      </c>
      <c r="C11" s="53">
        <v>1.8</v>
      </c>
      <c r="D11" s="53">
        <v>0.3</v>
      </c>
      <c r="E11" s="53">
        <v>1.5</v>
      </c>
      <c r="F11" s="53">
        <v>1.8</v>
      </c>
      <c r="G11" s="55">
        <v>8.6999999999999993</v>
      </c>
      <c r="H11" s="53">
        <v>3.9</v>
      </c>
      <c r="I11" s="53">
        <v>1.3</v>
      </c>
      <c r="J11" s="53">
        <v>1.9</v>
      </c>
      <c r="K11" s="55">
        <v>16.899999999999999</v>
      </c>
      <c r="L11" s="53">
        <v>1.2</v>
      </c>
      <c r="M11" s="53">
        <v>2.5</v>
      </c>
      <c r="N11" s="46">
        <f t="shared" si="0"/>
        <v>3.5583333333333336</v>
      </c>
      <c r="O11" s="31">
        <v>7</v>
      </c>
    </row>
    <row r="12" spans="1:15" ht="15.75" customHeight="1" x14ac:dyDescent="0.25">
      <c r="A12" s="23" t="s">
        <v>75</v>
      </c>
      <c r="B12" s="53">
        <v>5.0999999999999996</v>
      </c>
      <c r="C12" s="55">
        <v>9.6999999999999993</v>
      </c>
      <c r="D12" s="55">
        <v>8.8000000000000007</v>
      </c>
      <c r="E12" s="55">
        <v>11.6</v>
      </c>
      <c r="F12" s="55">
        <v>16.899999999999999</v>
      </c>
      <c r="G12" s="55">
        <v>19.399999999999999</v>
      </c>
      <c r="H12" s="55">
        <v>11.3</v>
      </c>
      <c r="I12" s="55">
        <v>8.5</v>
      </c>
      <c r="J12" s="55">
        <v>11.6</v>
      </c>
      <c r="K12" s="55">
        <v>9.4</v>
      </c>
      <c r="L12" s="55">
        <v>16.899999999999999</v>
      </c>
      <c r="M12" s="55">
        <v>20.2</v>
      </c>
      <c r="N12" s="56">
        <f t="shared" si="0"/>
        <v>12.449999999999998</v>
      </c>
      <c r="O12" s="31">
        <v>7</v>
      </c>
    </row>
    <row r="13" spans="1:15" ht="15.75" customHeight="1" x14ac:dyDescent="0.25">
      <c r="A13" s="23" t="s">
        <v>76</v>
      </c>
      <c r="B13" s="53">
        <v>3.8</v>
      </c>
      <c r="C13" s="53">
        <v>2.6</v>
      </c>
      <c r="D13" s="53">
        <v>2.1</v>
      </c>
      <c r="E13" s="53">
        <v>2.6</v>
      </c>
      <c r="F13" s="53">
        <v>5.6</v>
      </c>
      <c r="G13" s="55">
        <v>7.1</v>
      </c>
      <c r="H13" s="53">
        <v>4</v>
      </c>
      <c r="I13" s="53">
        <v>2.2000000000000002</v>
      </c>
      <c r="J13" s="53">
        <v>6.7</v>
      </c>
      <c r="K13" s="53">
        <v>5.9</v>
      </c>
      <c r="L13" s="53">
        <v>4.9000000000000004</v>
      </c>
      <c r="M13" s="55">
        <v>8.4</v>
      </c>
      <c r="N13" s="46">
        <f t="shared" si="0"/>
        <v>4.6583333333333323</v>
      </c>
      <c r="O13" s="31">
        <v>7</v>
      </c>
    </row>
    <row r="14" spans="1:15" ht="15.75" customHeight="1" x14ac:dyDescent="0.25">
      <c r="A14" s="23" t="s">
        <v>77</v>
      </c>
      <c r="B14" s="53">
        <v>6.3</v>
      </c>
      <c r="C14" s="53">
        <v>3</v>
      </c>
      <c r="D14" s="53">
        <v>4.0999999999999996</v>
      </c>
      <c r="E14" s="53">
        <v>2.1</v>
      </c>
      <c r="F14" s="53">
        <v>4.3</v>
      </c>
      <c r="G14" s="53">
        <v>3.5</v>
      </c>
      <c r="H14" s="53">
        <v>3.5</v>
      </c>
      <c r="I14" s="53">
        <v>3.4</v>
      </c>
      <c r="J14" s="53">
        <v>7</v>
      </c>
      <c r="K14" s="53">
        <v>2.5</v>
      </c>
      <c r="L14" s="53">
        <v>4</v>
      </c>
      <c r="M14" s="53">
        <v>6.5</v>
      </c>
      <c r="N14" s="46">
        <f t="shared" si="0"/>
        <v>4.1833333333333336</v>
      </c>
      <c r="O14" s="31">
        <v>7</v>
      </c>
    </row>
    <row r="15" spans="1:15" ht="15.75" customHeight="1" x14ac:dyDescent="0.25">
      <c r="A15" s="23" t="s">
        <v>78</v>
      </c>
      <c r="B15" s="55">
        <v>12.1</v>
      </c>
      <c r="C15" s="53">
        <v>4.4000000000000004</v>
      </c>
      <c r="D15" s="55">
        <v>10.6</v>
      </c>
      <c r="E15" s="53">
        <v>6.7</v>
      </c>
      <c r="F15" s="55">
        <v>8.9</v>
      </c>
      <c r="G15" s="55">
        <v>11.6</v>
      </c>
      <c r="H15" s="55">
        <v>8.6</v>
      </c>
      <c r="I15" s="53">
        <v>4.9000000000000004</v>
      </c>
      <c r="J15" s="55">
        <v>7.8</v>
      </c>
      <c r="K15" s="53">
        <v>2.8</v>
      </c>
      <c r="L15" s="53">
        <v>2.1</v>
      </c>
      <c r="M15" s="55">
        <v>11.8</v>
      </c>
      <c r="N15" s="56">
        <f t="shared" si="0"/>
        <v>7.6916666666666664</v>
      </c>
      <c r="O15" s="31">
        <v>7</v>
      </c>
    </row>
    <row r="16" spans="1:15" ht="15.75" customHeight="1" x14ac:dyDescent="0.25">
      <c r="A16" s="23" t="s">
        <v>79</v>
      </c>
      <c r="B16" s="53">
        <v>3.7</v>
      </c>
      <c r="C16" s="53">
        <v>5.8</v>
      </c>
      <c r="D16" s="53">
        <v>8.6999999999999993</v>
      </c>
      <c r="E16" s="53">
        <v>1.9</v>
      </c>
      <c r="F16" s="53">
        <v>3.1</v>
      </c>
      <c r="G16" s="53">
        <v>3.8</v>
      </c>
      <c r="H16" s="53">
        <v>4.5999999999999996</v>
      </c>
      <c r="I16" s="53">
        <v>4.8</v>
      </c>
      <c r="J16" s="53">
        <v>3.4</v>
      </c>
      <c r="K16" s="53">
        <v>4.2</v>
      </c>
      <c r="L16" s="53">
        <v>4.9000000000000004</v>
      </c>
      <c r="M16" s="53">
        <v>4.8</v>
      </c>
      <c r="N16" s="46">
        <f t="shared" si="0"/>
        <v>4.4749999999999996</v>
      </c>
      <c r="O16" s="31">
        <v>7</v>
      </c>
    </row>
    <row r="17" spans="1:15" ht="15.75" customHeight="1" x14ac:dyDescent="0.25">
      <c r="A17" s="23" t="s">
        <v>80</v>
      </c>
      <c r="B17" s="55">
        <v>8.5</v>
      </c>
      <c r="C17" s="55">
        <v>8.1</v>
      </c>
      <c r="D17" s="55">
        <v>12.3</v>
      </c>
      <c r="E17" s="53">
        <v>6.5</v>
      </c>
      <c r="F17" s="53">
        <v>5.7</v>
      </c>
      <c r="G17" s="55">
        <v>16</v>
      </c>
      <c r="H17" s="53">
        <v>1.8</v>
      </c>
      <c r="I17" s="53">
        <v>3.3</v>
      </c>
      <c r="J17" s="53">
        <v>6</v>
      </c>
      <c r="K17" s="53">
        <v>1.8</v>
      </c>
      <c r="L17" s="55">
        <v>8.3000000000000007</v>
      </c>
      <c r="M17" s="55">
        <v>7.6</v>
      </c>
      <c r="N17" s="56">
        <f t="shared" si="0"/>
        <v>7.1583333333333323</v>
      </c>
      <c r="O17" s="31">
        <v>7</v>
      </c>
    </row>
    <row r="18" spans="1:15" ht="15.75" customHeight="1" x14ac:dyDescent="0.25">
      <c r="A18" s="23" t="s">
        <v>81</v>
      </c>
      <c r="B18" s="53">
        <v>0.9</v>
      </c>
      <c r="C18" s="53">
        <v>0.7</v>
      </c>
      <c r="D18" s="53">
        <v>2</v>
      </c>
      <c r="E18" s="53">
        <v>0.3</v>
      </c>
      <c r="F18" s="53">
        <v>0.2</v>
      </c>
      <c r="G18" s="53">
        <v>0.5</v>
      </c>
      <c r="H18" s="53">
        <v>1.9</v>
      </c>
      <c r="I18" s="53">
        <v>4.7</v>
      </c>
      <c r="J18" s="53">
        <v>1.6</v>
      </c>
      <c r="K18" s="53">
        <v>0.3</v>
      </c>
      <c r="L18" s="53">
        <v>0</v>
      </c>
      <c r="M18" s="53">
        <v>2.6</v>
      </c>
      <c r="N18" s="46">
        <f t="shared" si="0"/>
        <v>1.3083333333333333</v>
      </c>
      <c r="O18" s="31">
        <v>7</v>
      </c>
    </row>
    <row r="19" spans="1:15" ht="15.75" customHeight="1" x14ac:dyDescent="0.25">
      <c r="A19" s="23" t="s">
        <v>86</v>
      </c>
      <c r="B19" s="55">
        <v>16.899999999999999</v>
      </c>
      <c r="C19" s="55">
        <v>15.2</v>
      </c>
      <c r="D19" s="55">
        <v>19.5</v>
      </c>
      <c r="E19" s="55">
        <v>25.7</v>
      </c>
      <c r="F19" s="55">
        <v>25.8</v>
      </c>
      <c r="G19" s="55">
        <v>29.3</v>
      </c>
      <c r="H19" s="55">
        <v>26.7</v>
      </c>
      <c r="I19" s="55">
        <v>21.5</v>
      </c>
      <c r="J19" s="55">
        <v>34.200000000000003</v>
      </c>
      <c r="K19" s="55">
        <v>17.2</v>
      </c>
      <c r="L19" s="55">
        <v>16.7</v>
      </c>
      <c r="M19" s="55">
        <v>29.3</v>
      </c>
      <c r="N19" s="56">
        <f t="shared" si="0"/>
        <v>23.166666666666668</v>
      </c>
      <c r="O19" s="31">
        <v>7</v>
      </c>
    </row>
    <row r="20" spans="1:15" ht="15.75" customHeight="1" x14ac:dyDescent="0.25">
      <c r="A20" s="23" t="s">
        <v>82</v>
      </c>
      <c r="B20" s="53">
        <v>3.4</v>
      </c>
      <c r="C20" s="53">
        <v>3.4</v>
      </c>
      <c r="D20" s="53">
        <v>6</v>
      </c>
      <c r="E20" s="55">
        <v>8.1</v>
      </c>
      <c r="F20" s="55">
        <v>8.1</v>
      </c>
      <c r="G20" s="53">
        <v>3.6</v>
      </c>
      <c r="H20" s="53">
        <v>5.0999999999999996</v>
      </c>
      <c r="I20" s="53">
        <v>6.2</v>
      </c>
      <c r="J20" s="55">
        <v>7.6</v>
      </c>
      <c r="K20" s="53">
        <v>3.4</v>
      </c>
      <c r="L20" s="55">
        <v>12.5</v>
      </c>
      <c r="M20" s="53">
        <v>3.7</v>
      </c>
      <c r="N20" s="46">
        <f t="shared" si="0"/>
        <v>5.9250000000000007</v>
      </c>
      <c r="O20" s="31">
        <v>7</v>
      </c>
    </row>
    <row r="21" spans="1:15" ht="15.75" customHeight="1" x14ac:dyDescent="0.25">
      <c r="A21" s="23" t="s">
        <v>83</v>
      </c>
      <c r="B21" s="53">
        <v>0.6</v>
      </c>
      <c r="C21" s="53">
        <v>0.4</v>
      </c>
      <c r="D21" s="53">
        <v>0</v>
      </c>
      <c r="E21" s="53">
        <v>0.4</v>
      </c>
      <c r="F21" s="53">
        <v>3</v>
      </c>
      <c r="G21" s="53">
        <v>0.5</v>
      </c>
      <c r="H21" s="53">
        <v>0.1</v>
      </c>
      <c r="I21" s="53">
        <v>2.5</v>
      </c>
      <c r="J21" s="53">
        <v>0.2</v>
      </c>
      <c r="K21" s="53">
        <v>0.2</v>
      </c>
      <c r="L21" s="53">
        <v>0.6</v>
      </c>
      <c r="M21" s="53">
        <v>0.6</v>
      </c>
      <c r="N21" s="46">
        <f t="shared" si="0"/>
        <v>0.7583333333333333</v>
      </c>
      <c r="O21" s="31">
        <v>7</v>
      </c>
    </row>
    <row r="22" spans="1:15" ht="15.75" customHeight="1" x14ac:dyDescent="0.25">
      <c r="A22" s="23" t="s">
        <v>84</v>
      </c>
      <c r="B22" s="45">
        <v>0.9</v>
      </c>
      <c r="C22" s="53">
        <v>1.5</v>
      </c>
      <c r="D22" s="45">
        <v>0.3</v>
      </c>
      <c r="E22" s="53">
        <v>1.2</v>
      </c>
      <c r="F22" s="53">
        <v>0.7</v>
      </c>
      <c r="G22" s="45">
        <v>0.2</v>
      </c>
      <c r="H22" s="45">
        <v>2.5</v>
      </c>
      <c r="I22" s="45">
        <v>3.7</v>
      </c>
      <c r="J22" s="45">
        <v>5.7</v>
      </c>
      <c r="K22" s="45">
        <v>3.1</v>
      </c>
      <c r="L22" s="45">
        <v>1.7</v>
      </c>
      <c r="M22" s="45">
        <v>4.5</v>
      </c>
      <c r="N22" s="46">
        <f t="shared" si="0"/>
        <v>2.1666666666666665</v>
      </c>
      <c r="O22" s="31">
        <v>7</v>
      </c>
    </row>
    <row r="23" spans="1:15" ht="15.75" customHeight="1" x14ac:dyDescent="0.25">
      <c r="A23" s="23" t="s">
        <v>85</v>
      </c>
      <c r="B23" s="53">
        <v>4.8</v>
      </c>
      <c r="C23" s="45">
        <v>4.0999999999999996</v>
      </c>
      <c r="D23" s="48">
        <v>0</v>
      </c>
      <c r="E23" s="45">
        <v>6.2</v>
      </c>
      <c r="F23" s="45">
        <v>5.5</v>
      </c>
      <c r="G23" s="45">
        <v>5.0999999999999996</v>
      </c>
      <c r="H23" s="45">
        <v>3.6</v>
      </c>
      <c r="I23" s="45">
        <v>6.3</v>
      </c>
      <c r="J23" s="53">
        <v>5.4</v>
      </c>
      <c r="K23" s="45">
        <v>5.4</v>
      </c>
      <c r="L23" s="48">
        <v>6.6</v>
      </c>
      <c r="M23" s="56">
        <v>7.3</v>
      </c>
      <c r="N23" s="46">
        <f t="shared" si="0"/>
        <v>5.0249999999999995</v>
      </c>
      <c r="O23" s="31">
        <v>7</v>
      </c>
    </row>
    <row r="24" spans="1:15" ht="15.75" customHeight="1" x14ac:dyDescent="0.25">
      <c r="A24" s="23" t="s">
        <v>65</v>
      </c>
      <c r="B24" s="58">
        <f>SUM(B2:B23)/22</f>
        <v>4.5318181818181822</v>
      </c>
      <c r="C24" s="58">
        <f t="shared" ref="C24:H24" si="1">SUM(C2:C23)/22</f>
        <v>4.8272727272727272</v>
      </c>
      <c r="D24" s="58">
        <f t="shared" si="1"/>
        <v>5.55</v>
      </c>
      <c r="E24" s="58">
        <f t="shared" si="1"/>
        <v>4.9090909090909101</v>
      </c>
      <c r="F24" s="58">
        <f t="shared" si="1"/>
        <v>5.9499999999999993</v>
      </c>
      <c r="G24" s="58">
        <f t="shared" si="1"/>
        <v>6.6499999999999977</v>
      </c>
      <c r="H24" s="58">
        <f t="shared" si="1"/>
        <v>5.7181818181818169</v>
      </c>
      <c r="I24" s="58">
        <f>SUM(I2:I22)/22</f>
        <v>4.8909090909090915</v>
      </c>
      <c r="J24" s="58">
        <f t="shared" ref="J24" si="2">SUM(J2:J23)/22</f>
        <v>6.4954545454545443</v>
      </c>
      <c r="K24" s="58">
        <f t="shared" ref="K24" si="3">SUM(K2:K23)/22</f>
        <v>5.536363636363637</v>
      </c>
      <c r="L24" s="58">
        <f t="shared" ref="L24" si="4">SUM(L2:L23)/22</f>
        <v>6.0136363636363646</v>
      </c>
      <c r="M24" s="59">
        <f t="shared" ref="M24" si="5">SUM(M2:M23)/22</f>
        <v>7.7818181818181813</v>
      </c>
      <c r="N24" s="46">
        <f t="shared" si="0"/>
        <v>5.7378787878787874</v>
      </c>
      <c r="O24" s="31">
        <v>7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78"/>
  <sheetViews>
    <sheetView topLeftCell="A24" workbookViewId="0">
      <pane xSplit="1" topLeftCell="B1" activePane="topRight" state="frozen"/>
      <selection pane="topRight" activeCell="I31" sqref="I31:I52"/>
    </sheetView>
  </sheetViews>
  <sheetFormatPr defaultColWidth="9.109375" defaultRowHeight="13.2" x14ac:dyDescent="0.25"/>
  <cols>
    <col min="1" max="2" width="12.6640625" style="2" customWidth="1"/>
    <col min="3" max="3" width="8.5546875" style="2" customWidth="1"/>
    <col min="4" max="4" width="19.109375" style="16" customWidth="1"/>
    <col min="5" max="7" width="10.44140625" style="2" customWidth="1"/>
    <col min="8" max="16384" width="9.109375" style="2"/>
  </cols>
  <sheetData>
    <row r="2" spans="1:6" ht="16.2" thickBot="1" x14ac:dyDescent="0.3">
      <c r="A2" s="1" t="s">
        <v>0</v>
      </c>
      <c r="B2" s="1" t="s">
        <v>1</v>
      </c>
      <c r="C2" s="1" t="s">
        <v>2</v>
      </c>
      <c r="D2" s="13" t="s">
        <v>3</v>
      </c>
    </row>
    <row r="3" spans="1:6" ht="15" x14ac:dyDescent="0.25">
      <c r="A3" s="47">
        <v>877</v>
      </c>
      <c r="B3" s="36" t="s">
        <v>98</v>
      </c>
      <c r="C3" s="37">
        <v>18</v>
      </c>
      <c r="D3" s="38">
        <v>1.6</v>
      </c>
    </row>
    <row r="4" spans="1:6" ht="16.2" thickBot="1" x14ac:dyDescent="0.3">
      <c r="A4" s="9">
        <v>877</v>
      </c>
      <c r="B4" s="42"/>
      <c r="C4" s="10">
        <v>18</v>
      </c>
      <c r="D4" s="12">
        <v>1.6</v>
      </c>
    </row>
    <row r="5" spans="1:6" ht="15" x14ac:dyDescent="0.25">
      <c r="A5" s="39" t="s">
        <v>95</v>
      </c>
      <c r="B5" s="36" t="s">
        <v>88</v>
      </c>
      <c r="C5" s="37">
        <v>20</v>
      </c>
      <c r="D5" s="38">
        <v>0.7</v>
      </c>
      <c r="F5" s="2">
        <f>(C5*D5)+(C6*D6)</f>
        <v>14</v>
      </c>
    </row>
    <row r="6" spans="1:6" ht="15" x14ac:dyDescent="0.25">
      <c r="A6" s="50" t="s">
        <v>95</v>
      </c>
      <c r="B6" s="27" t="s">
        <v>99</v>
      </c>
      <c r="C6" s="57">
        <v>2</v>
      </c>
      <c r="D6" s="32">
        <v>0</v>
      </c>
      <c r="F6" s="16"/>
    </row>
    <row r="7" spans="1:6" ht="16.2" thickBot="1" x14ac:dyDescent="0.3">
      <c r="A7" s="9">
        <v>878</v>
      </c>
      <c r="B7" s="42"/>
      <c r="C7" s="10">
        <f>SUM(C5:C6)</f>
        <v>22</v>
      </c>
      <c r="D7" s="12">
        <f>F5/C7</f>
        <v>0.63636363636363635</v>
      </c>
      <c r="F7" s="16"/>
    </row>
    <row r="8" spans="1:6" ht="15" x14ac:dyDescent="0.25">
      <c r="A8" s="17" t="s">
        <v>96</v>
      </c>
      <c r="B8" s="6" t="s">
        <v>4</v>
      </c>
      <c r="C8" s="18">
        <v>21</v>
      </c>
      <c r="D8" s="19">
        <v>10.1</v>
      </c>
      <c r="F8" s="2">
        <f>(C8*D8)+(C9*D9)+(C10*D10)</f>
        <v>230.1</v>
      </c>
    </row>
    <row r="9" spans="1:6" ht="15" x14ac:dyDescent="0.25">
      <c r="A9" s="8">
        <v>879</v>
      </c>
      <c r="B9" s="3" t="s">
        <v>5</v>
      </c>
      <c r="C9" s="21">
        <v>4</v>
      </c>
      <c r="D9" s="20">
        <v>1.5</v>
      </c>
    </row>
    <row r="10" spans="1:6" ht="15" x14ac:dyDescent="0.25">
      <c r="A10" s="8">
        <v>879</v>
      </c>
      <c r="B10" s="3" t="s">
        <v>6</v>
      </c>
      <c r="C10" s="21">
        <v>3</v>
      </c>
      <c r="D10" s="20">
        <v>4</v>
      </c>
    </row>
    <row r="11" spans="1:6" ht="15.6" thickBot="1" x14ac:dyDescent="0.3">
      <c r="A11" s="9">
        <v>879</v>
      </c>
      <c r="B11" s="10" t="s">
        <v>7</v>
      </c>
      <c r="C11" s="11">
        <f>SUM(C8:C10)</f>
        <v>28</v>
      </c>
      <c r="D11" s="12">
        <f>F8/C11</f>
        <v>8.2178571428571434</v>
      </c>
    </row>
    <row r="12" spans="1:6" ht="15" x14ac:dyDescent="0.25">
      <c r="A12" s="5">
        <v>880</v>
      </c>
      <c r="B12" s="6" t="s">
        <v>8</v>
      </c>
      <c r="C12" s="18">
        <v>0</v>
      </c>
      <c r="D12" s="19">
        <v>0</v>
      </c>
      <c r="F12" s="2">
        <f>(C12*D12)+(C14*D14)+(C13*D13)</f>
        <v>198.4</v>
      </c>
    </row>
    <row r="13" spans="1:6" ht="15" x14ac:dyDescent="0.25">
      <c r="A13" s="8">
        <v>880</v>
      </c>
      <c r="B13" s="3" t="s">
        <v>92</v>
      </c>
      <c r="C13" s="34">
        <v>27</v>
      </c>
      <c r="D13" s="35">
        <v>5.2</v>
      </c>
    </row>
    <row r="14" spans="1:6" ht="15" x14ac:dyDescent="0.25">
      <c r="A14" s="8">
        <v>880</v>
      </c>
      <c r="B14" s="3" t="s">
        <v>9</v>
      </c>
      <c r="C14" s="21">
        <v>1</v>
      </c>
      <c r="D14" s="20">
        <v>58</v>
      </c>
    </row>
    <row r="15" spans="1:6" ht="15.6" thickBot="1" x14ac:dyDescent="0.3">
      <c r="A15" s="9">
        <v>880</v>
      </c>
      <c r="B15" s="10" t="s">
        <v>7</v>
      </c>
      <c r="C15" s="11">
        <f>SUM(C12:C14)</f>
        <v>28</v>
      </c>
      <c r="D15" s="12">
        <f>F12/C15</f>
        <v>7.0857142857142863</v>
      </c>
    </row>
    <row r="16" spans="1:6" ht="15" x14ac:dyDescent="0.25">
      <c r="A16" s="8">
        <v>881</v>
      </c>
      <c r="B16" s="3" t="s">
        <v>12</v>
      </c>
      <c r="C16" s="21">
        <v>26</v>
      </c>
      <c r="D16" s="20">
        <v>3.7</v>
      </c>
      <c r="F16" s="2">
        <f>(C16*D16)+(C17*D17)</f>
        <v>96.2</v>
      </c>
    </row>
    <row r="17" spans="1:9" ht="15" x14ac:dyDescent="0.25">
      <c r="A17" s="8">
        <v>881</v>
      </c>
      <c r="B17" s="3" t="s">
        <v>11</v>
      </c>
      <c r="C17" s="21">
        <v>0</v>
      </c>
      <c r="D17" s="20">
        <v>0</v>
      </c>
    </row>
    <row r="18" spans="1:9" ht="15.6" thickBot="1" x14ac:dyDescent="0.3">
      <c r="A18" s="9">
        <v>881</v>
      </c>
      <c r="B18" s="10" t="s">
        <v>7</v>
      </c>
      <c r="C18" s="11">
        <f>SUM(C16:C17)</f>
        <v>26</v>
      </c>
      <c r="D18" s="12">
        <f>F16/C18</f>
        <v>3.7</v>
      </c>
    </row>
    <row r="19" spans="1:9" ht="15" x14ac:dyDescent="0.25">
      <c r="A19" s="5">
        <v>882</v>
      </c>
      <c r="B19" s="6" t="s">
        <v>13</v>
      </c>
      <c r="C19" s="18">
        <v>40</v>
      </c>
      <c r="D19" s="19">
        <v>3.7</v>
      </c>
      <c r="F19" s="2">
        <f>(C19*D19)+(C20*D20)</f>
        <v>148</v>
      </c>
    </row>
    <row r="20" spans="1:9" ht="15" x14ac:dyDescent="0.25">
      <c r="A20" s="8">
        <v>882</v>
      </c>
      <c r="B20" s="3" t="s">
        <v>14</v>
      </c>
      <c r="C20" s="21">
        <v>0</v>
      </c>
      <c r="D20" s="20">
        <v>0</v>
      </c>
    </row>
    <row r="21" spans="1:9" ht="15.6" thickBot="1" x14ac:dyDescent="0.3">
      <c r="A21" s="9">
        <v>882</v>
      </c>
      <c r="B21" s="10" t="s">
        <v>7</v>
      </c>
      <c r="C21" s="11">
        <f>SUM(C19:C20)</f>
        <v>40</v>
      </c>
      <c r="D21" s="12">
        <f>F19/C21</f>
        <v>3.7</v>
      </c>
    </row>
    <row r="22" spans="1:9" ht="15" x14ac:dyDescent="0.25">
      <c r="A22" s="5">
        <v>884</v>
      </c>
      <c r="B22" s="6" t="s">
        <v>15</v>
      </c>
      <c r="C22" s="18">
        <v>0</v>
      </c>
      <c r="D22" s="19">
        <v>0</v>
      </c>
      <c r="F22" s="2">
        <f>(C22*D22)+(C23*D23)+(C24*D24)</f>
        <v>21.6</v>
      </c>
    </row>
    <row r="23" spans="1:9" ht="15" x14ac:dyDescent="0.25">
      <c r="A23" s="8">
        <v>884</v>
      </c>
      <c r="B23" s="3" t="s">
        <v>16</v>
      </c>
      <c r="C23" s="21">
        <v>0</v>
      </c>
      <c r="D23" s="20">
        <v>0</v>
      </c>
    </row>
    <row r="24" spans="1:9" ht="15" x14ac:dyDescent="0.25">
      <c r="A24" s="8">
        <v>884</v>
      </c>
      <c r="B24" s="3" t="s">
        <v>17</v>
      </c>
      <c r="C24" s="21">
        <v>8</v>
      </c>
      <c r="D24" s="20">
        <v>2.7</v>
      </c>
    </row>
    <row r="25" spans="1:9" ht="15.6" thickBot="1" x14ac:dyDescent="0.3">
      <c r="A25" s="9">
        <v>884</v>
      </c>
      <c r="B25" s="10" t="s">
        <v>7</v>
      </c>
      <c r="C25" s="11">
        <f>SUM(C22:C24)</f>
        <v>8</v>
      </c>
      <c r="D25" s="12">
        <f>F22/C25</f>
        <v>2.7</v>
      </c>
    </row>
    <row r="26" spans="1:9" ht="15" x14ac:dyDescent="0.25">
      <c r="A26" s="29" t="s">
        <v>97</v>
      </c>
      <c r="B26" s="27" t="s">
        <v>64</v>
      </c>
      <c r="C26" s="28">
        <v>20</v>
      </c>
      <c r="D26" s="32">
        <v>2.1</v>
      </c>
      <c r="F26" s="2">
        <f>(C26*D26)+(C27*D27)</f>
        <v>42</v>
      </c>
    </row>
    <row r="27" spans="1:9" ht="15" x14ac:dyDescent="0.25">
      <c r="A27" s="29" t="s">
        <v>97</v>
      </c>
      <c r="B27" s="27" t="s">
        <v>91</v>
      </c>
      <c r="C27" s="28">
        <v>0</v>
      </c>
      <c r="D27" s="32">
        <v>0</v>
      </c>
    </row>
    <row r="28" spans="1:9" ht="15.6" thickBot="1" x14ac:dyDescent="0.3">
      <c r="A28" s="30" t="s">
        <v>97</v>
      </c>
      <c r="B28" s="25"/>
      <c r="C28" s="26">
        <f>SUM(C26:C27)</f>
        <v>20</v>
      </c>
      <c r="D28" s="12">
        <f>F26/C28</f>
        <v>2.1</v>
      </c>
    </row>
    <row r="29" spans="1:9" ht="15" x14ac:dyDescent="0.25">
      <c r="A29" s="5">
        <v>886</v>
      </c>
      <c r="B29" s="6" t="s">
        <v>18</v>
      </c>
      <c r="C29" s="18">
        <v>24</v>
      </c>
      <c r="D29" s="19">
        <v>2</v>
      </c>
      <c r="F29" s="2">
        <f>(C29*D29)+(C31*D31)+(C30*D30)</f>
        <v>66.400000000000006</v>
      </c>
    </row>
    <row r="30" spans="1:9" ht="15" x14ac:dyDescent="0.25">
      <c r="A30" s="8">
        <v>886</v>
      </c>
      <c r="B30" s="3" t="s">
        <v>90</v>
      </c>
      <c r="C30" s="4">
        <v>8</v>
      </c>
      <c r="D30" s="33">
        <v>2.2999999999999998</v>
      </c>
    </row>
    <row r="31" spans="1:9" ht="15" x14ac:dyDescent="0.25">
      <c r="A31" s="8">
        <v>886</v>
      </c>
      <c r="B31" s="3" t="s">
        <v>19</v>
      </c>
      <c r="C31" s="4">
        <v>0</v>
      </c>
      <c r="D31" s="15">
        <v>0</v>
      </c>
      <c r="I31" s="2">
        <v>1.6</v>
      </c>
    </row>
    <row r="32" spans="1:9" ht="15.6" thickBot="1" x14ac:dyDescent="0.3">
      <c r="A32" s="9">
        <v>886</v>
      </c>
      <c r="B32" s="10" t="s">
        <v>7</v>
      </c>
      <c r="C32" s="11">
        <f>SUM(C29:C31)</f>
        <v>32</v>
      </c>
      <c r="D32" s="12">
        <f>F29/C32</f>
        <v>2.0750000000000002</v>
      </c>
      <c r="I32" s="2">
        <v>0.6</v>
      </c>
    </row>
    <row r="33" spans="1:9" ht="15" x14ac:dyDescent="0.25">
      <c r="A33" s="5">
        <v>887</v>
      </c>
      <c r="B33" s="6" t="s">
        <v>20</v>
      </c>
      <c r="C33" s="7">
        <v>0</v>
      </c>
      <c r="D33" s="14">
        <v>0</v>
      </c>
      <c r="F33" s="2">
        <f>(C33*D33)+(C34*D34)</f>
        <v>18.900000000000002</v>
      </c>
      <c r="I33" s="2">
        <v>8.1999999999999993</v>
      </c>
    </row>
    <row r="34" spans="1:9" ht="15" x14ac:dyDescent="0.25">
      <c r="A34" s="8">
        <v>887</v>
      </c>
      <c r="B34" s="3" t="s">
        <v>21</v>
      </c>
      <c r="C34" s="21">
        <v>21</v>
      </c>
      <c r="D34" s="20">
        <v>0.9</v>
      </c>
      <c r="I34" s="2">
        <v>7.1</v>
      </c>
    </row>
    <row r="35" spans="1:9" ht="15.6" thickBot="1" x14ac:dyDescent="0.3">
      <c r="A35" s="9">
        <v>887</v>
      </c>
      <c r="B35" s="10" t="s">
        <v>7</v>
      </c>
      <c r="C35" s="11">
        <f>SUM(C33:C34)</f>
        <v>21</v>
      </c>
      <c r="D35" s="12">
        <f>F33/C35</f>
        <v>0.90000000000000013</v>
      </c>
      <c r="I35" s="2">
        <v>3.7</v>
      </c>
    </row>
    <row r="36" spans="1:9" ht="15" x14ac:dyDescent="0.25">
      <c r="A36" s="5">
        <v>888</v>
      </c>
      <c r="B36" s="6" t="s">
        <v>22</v>
      </c>
      <c r="C36" s="18">
        <v>1</v>
      </c>
      <c r="D36" s="19">
        <v>15</v>
      </c>
      <c r="F36" s="2">
        <f>(C36*D36)+(C37*D37)+(C38*D38)+(C39*D39)</f>
        <v>156.80000000000001</v>
      </c>
      <c r="I36" s="24">
        <v>3.7</v>
      </c>
    </row>
    <row r="37" spans="1:9" ht="15" x14ac:dyDescent="0.25">
      <c r="A37" s="8">
        <v>888</v>
      </c>
      <c r="B37" s="3" t="s">
        <v>23</v>
      </c>
      <c r="C37" s="4">
        <v>4</v>
      </c>
      <c r="D37" s="15">
        <v>6</v>
      </c>
      <c r="I37" s="24">
        <v>2.7</v>
      </c>
    </row>
    <row r="38" spans="1:9" ht="15" x14ac:dyDescent="0.25">
      <c r="A38" s="8">
        <v>888</v>
      </c>
      <c r="B38" s="3" t="s">
        <v>24</v>
      </c>
      <c r="C38" s="21">
        <v>24</v>
      </c>
      <c r="D38" s="20">
        <v>4.2</v>
      </c>
      <c r="I38" s="24">
        <v>2.1</v>
      </c>
    </row>
    <row r="39" spans="1:9" ht="15" x14ac:dyDescent="0.25">
      <c r="A39" s="8">
        <v>888</v>
      </c>
      <c r="B39" s="3" t="s">
        <v>48</v>
      </c>
      <c r="C39" s="21">
        <v>2</v>
      </c>
      <c r="D39" s="20">
        <v>8.5</v>
      </c>
      <c r="I39" s="24">
        <v>2.1</v>
      </c>
    </row>
    <row r="40" spans="1:9" ht="15.6" thickBot="1" x14ac:dyDescent="0.3">
      <c r="A40" s="9">
        <v>888</v>
      </c>
      <c r="B40" s="10" t="s">
        <v>7</v>
      </c>
      <c r="C40" s="11">
        <f>SUM(C36:C39)</f>
        <v>31</v>
      </c>
      <c r="D40" s="12">
        <f>F36/C40</f>
        <v>5.0580645161290327</v>
      </c>
      <c r="I40" s="24">
        <v>0.9</v>
      </c>
    </row>
    <row r="41" spans="1:9" ht="15" x14ac:dyDescent="0.25">
      <c r="A41" s="5">
        <v>889</v>
      </c>
      <c r="B41" s="6" t="s">
        <v>25</v>
      </c>
      <c r="C41" s="18">
        <v>26</v>
      </c>
      <c r="D41" s="19">
        <v>4.9000000000000004</v>
      </c>
      <c r="F41" s="2">
        <f>(C41*D41)+(C42*D42)+(C43*D43)+(C44*D44)+(C45*D45)</f>
        <v>219.4</v>
      </c>
      <c r="I41" s="24">
        <v>5.0999999999999996</v>
      </c>
    </row>
    <row r="42" spans="1:9" ht="15" x14ac:dyDescent="0.25">
      <c r="A42" s="8">
        <v>889</v>
      </c>
      <c r="B42" s="3" t="s">
        <v>26</v>
      </c>
      <c r="C42" s="21">
        <v>22</v>
      </c>
      <c r="D42" s="20">
        <v>1.5</v>
      </c>
      <c r="I42" s="24">
        <v>3.8</v>
      </c>
    </row>
    <row r="43" spans="1:9" ht="15" x14ac:dyDescent="0.25">
      <c r="A43" s="8">
        <v>889</v>
      </c>
      <c r="B43" s="3" t="s">
        <v>27</v>
      </c>
      <c r="C43" s="21">
        <v>0</v>
      </c>
      <c r="D43" s="20">
        <v>0</v>
      </c>
      <c r="I43" s="24">
        <v>6.3</v>
      </c>
    </row>
    <row r="44" spans="1:9" ht="15" x14ac:dyDescent="0.25">
      <c r="A44" s="8">
        <v>889</v>
      </c>
      <c r="B44" s="3" t="s">
        <v>28</v>
      </c>
      <c r="C44" s="21">
        <v>1</v>
      </c>
      <c r="D44" s="20">
        <v>35</v>
      </c>
      <c r="I44" s="24">
        <v>12.1</v>
      </c>
    </row>
    <row r="45" spans="1:9" ht="15" x14ac:dyDescent="0.25">
      <c r="A45" s="8">
        <v>889</v>
      </c>
      <c r="B45" s="3" t="s">
        <v>87</v>
      </c>
      <c r="C45" s="4">
        <v>8</v>
      </c>
      <c r="D45" s="33">
        <v>3</v>
      </c>
      <c r="I45" s="24">
        <v>3.7</v>
      </c>
    </row>
    <row r="46" spans="1:9" ht="15.6" thickBot="1" x14ac:dyDescent="0.3">
      <c r="A46" s="9">
        <v>889</v>
      </c>
      <c r="B46" s="10" t="s">
        <v>7</v>
      </c>
      <c r="C46" s="11">
        <f>SUM(C41:C45)</f>
        <v>57</v>
      </c>
      <c r="D46" s="12">
        <f>F41/C46</f>
        <v>3.8491228070175438</v>
      </c>
      <c r="I46" s="24">
        <v>8.5</v>
      </c>
    </row>
    <row r="47" spans="1:9" ht="15" x14ac:dyDescent="0.25">
      <c r="A47" s="5">
        <v>890</v>
      </c>
      <c r="B47" s="6" t="s">
        <v>29</v>
      </c>
      <c r="C47" s="18">
        <v>37</v>
      </c>
      <c r="D47" s="19">
        <v>6.3</v>
      </c>
      <c r="F47" s="2">
        <f>(C47*D47)+(C48*D48)</f>
        <v>233.1</v>
      </c>
      <c r="I47" s="24">
        <v>0.9</v>
      </c>
    </row>
    <row r="48" spans="1:9" ht="15" x14ac:dyDescent="0.25">
      <c r="A48" s="8">
        <v>890</v>
      </c>
      <c r="B48" s="3" t="s">
        <v>30</v>
      </c>
      <c r="C48" s="21">
        <v>0</v>
      </c>
      <c r="D48" s="20">
        <v>0</v>
      </c>
      <c r="I48" s="24">
        <v>16.899999999999999</v>
      </c>
    </row>
    <row r="49" spans="1:9" ht="15.6" thickBot="1" x14ac:dyDescent="0.3">
      <c r="A49" s="9">
        <v>890</v>
      </c>
      <c r="B49" s="10" t="s">
        <v>7</v>
      </c>
      <c r="C49" s="11">
        <f>SUM(C47:C48)</f>
        <v>37</v>
      </c>
      <c r="D49" s="12">
        <f>F47/C49</f>
        <v>6.3</v>
      </c>
      <c r="I49" s="24">
        <v>3.4</v>
      </c>
    </row>
    <row r="50" spans="1:9" ht="15" x14ac:dyDescent="0.25">
      <c r="A50" s="5">
        <v>891</v>
      </c>
      <c r="B50" s="6" t="s">
        <v>31</v>
      </c>
      <c r="C50" s="7">
        <v>2</v>
      </c>
      <c r="D50" s="14">
        <v>9</v>
      </c>
      <c r="F50" s="2">
        <f>(C50*D50)+(C51*D51)+(C52*D52)</f>
        <v>254.2</v>
      </c>
      <c r="I50" s="24">
        <v>0.6</v>
      </c>
    </row>
    <row r="51" spans="1:9" ht="15" x14ac:dyDescent="0.25">
      <c r="A51" s="8">
        <v>891</v>
      </c>
      <c r="B51" s="3" t="s">
        <v>32</v>
      </c>
      <c r="C51" s="21">
        <v>11</v>
      </c>
      <c r="D51" s="20">
        <v>13.4</v>
      </c>
      <c r="I51" s="44">
        <v>0.9</v>
      </c>
    </row>
    <row r="52" spans="1:9" ht="15" x14ac:dyDescent="0.25">
      <c r="A52" s="8">
        <v>891</v>
      </c>
      <c r="B52" s="3" t="s">
        <v>33</v>
      </c>
      <c r="C52" s="21">
        <v>8</v>
      </c>
      <c r="D52" s="20">
        <v>11.1</v>
      </c>
      <c r="I52" s="24">
        <v>4.8</v>
      </c>
    </row>
    <row r="53" spans="1:9" ht="15.6" thickBot="1" x14ac:dyDescent="0.3">
      <c r="A53" s="9">
        <v>891</v>
      </c>
      <c r="B53" s="10" t="s">
        <v>7</v>
      </c>
      <c r="C53" s="11">
        <f>SUM(C50:C52)</f>
        <v>21</v>
      </c>
      <c r="D53" s="12">
        <f>F50/C53</f>
        <v>12.104761904761904</v>
      </c>
      <c r="I53" s="44">
        <f>SUM(I31:I52)/22</f>
        <v>4.5318181818181822</v>
      </c>
    </row>
    <row r="54" spans="1:9" ht="15" x14ac:dyDescent="0.25">
      <c r="A54" s="5">
        <v>892</v>
      </c>
      <c r="B54" s="6" t="s">
        <v>34</v>
      </c>
      <c r="C54" s="18">
        <v>27</v>
      </c>
      <c r="D54" s="19">
        <v>3.7</v>
      </c>
      <c r="F54" s="2">
        <f>(C54*D54)+(C55*D55)</f>
        <v>99.9</v>
      </c>
      <c r="I54" s="43"/>
    </row>
    <row r="55" spans="1:9" ht="15" x14ac:dyDescent="0.25">
      <c r="A55" s="8">
        <v>892</v>
      </c>
      <c r="B55" s="3" t="s">
        <v>49</v>
      </c>
      <c r="C55" s="21">
        <v>0</v>
      </c>
      <c r="D55" s="20">
        <v>0</v>
      </c>
    </row>
    <row r="56" spans="1:9" ht="15.6" thickBot="1" x14ac:dyDescent="0.3">
      <c r="A56" s="9">
        <v>892</v>
      </c>
      <c r="B56" s="10" t="s">
        <v>7</v>
      </c>
      <c r="C56" s="11">
        <f>SUM(C54:C55)</f>
        <v>27</v>
      </c>
      <c r="D56" s="12">
        <f>F54/C56</f>
        <v>3.7</v>
      </c>
    </row>
    <row r="57" spans="1:9" ht="15" x14ac:dyDescent="0.25">
      <c r="A57" s="5">
        <v>893</v>
      </c>
      <c r="B57" s="6" t="s">
        <v>35</v>
      </c>
      <c r="C57" s="18">
        <v>29</v>
      </c>
      <c r="D57" s="19">
        <v>8.5</v>
      </c>
      <c r="F57" s="2">
        <f>(C57*D57)+(C59*D59)</f>
        <v>332</v>
      </c>
    </row>
    <row r="58" spans="1:9" ht="15" x14ac:dyDescent="0.25">
      <c r="A58" s="8">
        <v>893</v>
      </c>
      <c r="B58" s="3" t="s">
        <v>50</v>
      </c>
      <c r="C58" s="21">
        <v>1</v>
      </c>
      <c r="D58" s="20">
        <v>7</v>
      </c>
    </row>
    <row r="59" spans="1:9" ht="15" x14ac:dyDescent="0.25">
      <c r="A59" s="8">
        <v>893</v>
      </c>
      <c r="B59" s="3" t="s">
        <v>36</v>
      </c>
      <c r="C59" s="21">
        <v>9</v>
      </c>
      <c r="D59" s="20">
        <v>9.5</v>
      </c>
    </row>
    <row r="60" spans="1:9" ht="15.6" thickBot="1" x14ac:dyDescent="0.3">
      <c r="A60" s="9">
        <v>893</v>
      </c>
      <c r="B60" s="10" t="s">
        <v>7</v>
      </c>
      <c r="C60" s="11">
        <f>SUM(C57:C59)</f>
        <v>39</v>
      </c>
      <c r="D60" s="12">
        <f>F57/C60</f>
        <v>8.5128205128205128</v>
      </c>
    </row>
    <row r="61" spans="1:9" ht="15" x14ac:dyDescent="0.25">
      <c r="A61" s="5">
        <v>894</v>
      </c>
      <c r="B61" s="6" t="s">
        <v>37</v>
      </c>
      <c r="C61" s="18">
        <v>25</v>
      </c>
      <c r="D61" s="19">
        <v>1</v>
      </c>
      <c r="F61" s="2">
        <f>(C61*D61)+(C63*D63)+(C62*D62)</f>
        <v>26</v>
      </c>
    </row>
    <row r="62" spans="1:9" ht="15" x14ac:dyDescent="0.25">
      <c r="A62" s="8">
        <v>894</v>
      </c>
      <c r="B62" s="3" t="s">
        <v>101</v>
      </c>
      <c r="C62" s="4">
        <v>5</v>
      </c>
      <c r="D62" s="33">
        <v>0.2</v>
      </c>
    </row>
    <row r="63" spans="1:9" ht="15" x14ac:dyDescent="0.25">
      <c r="A63" s="8">
        <v>894</v>
      </c>
      <c r="B63" s="3" t="s">
        <v>38</v>
      </c>
      <c r="C63" s="4">
        <v>0</v>
      </c>
      <c r="D63" s="15">
        <v>0</v>
      </c>
    </row>
    <row r="64" spans="1:9" ht="15.6" thickBot="1" x14ac:dyDescent="0.3">
      <c r="A64" s="9">
        <v>894</v>
      </c>
      <c r="B64" s="10" t="s">
        <v>7</v>
      </c>
      <c r="C64" s="11">
        <f>SUM(C61:C63)</f>
        <v>30</v>
      </c>
      <c r="D64" s="12">
        <f>F61/C64</f>
        <v>0.8666666666666667</v>
      </c>
    </row>
    <row r="65" spans="1:6" ht="15" x14ac:dyDescent="0.25">
      <c r="A65" s="5">
        <v>895</v>
      </c>
      <c r="B65" s="6" t="s">
        <v>39</v>
      </c>
      <c r="C65" s="7">
        <v>3</v>
      </c>
      <c r="D65" s="14">
        <v>32.299999999999997</v>
      </c>
      <c r="F65" s="2">
        <f>(C65*D65)+(C66*D66)</f>
        <v>960.9</v>
      </c>
    </row>
    <row r="66" spans="1:6" ht="15" x14ac:dyDescent="0.25">
      <c r="A66" s="8">
        <v>895</v>
      </c>
      <c r="B66" s="3" t="s">
        <v>40</v>
      </c>
      <c r="C66" s="21">
        <v>54</v>
      </c>
      <c r="D66" s="20">
        <v>16</v>
      </c>
    </row>
    <row r="67" spans="1:6" ht="15.6" thickBot="1" x14ac:dyDescent="0.3">
      <c r="A67" s="9">
        <v>895</v>
      </c>
      <c r="B67" s="10" t="s">
        <v>7</v>
      </c>
      <c r="C67" s="11">
        <f>SUM(C65:C66)</f>
        <v>57</v>
      </c>
      <c r="D67" s="12">
        <f>F65/C67</f>
        <v>16.857894736842105</v>
      </c>
    </row>
    <row r="68" spans="1:6" ht="15" x14ac:dyDescent="0.25">
      <c r="A68" s="5">
        <v>896</v>
      </c>
      <c r="B68" s="6" t="s">
        <v>41</v>
      </c>
      <c r="C68" s="18">
        <v>16</v>
      </c>
      <c r="D68" s="19">
        <v>4.8</v>
      </c>
    </row>
    <row r="69" spans="1:6" ht="15.6" thickBot="1" x14ac:dyDescent="0.3">
      <c r="A69" s="9">
        <v>896</v>
      </c>
      <c r="B69" s="10" t="s">
        <v>7</v>
      </c>
      <c r="C69" s="10">
        <v>17</v>
      </c>
      <c r="D69" s="12">
        <v>3.4</v>
      </c>
    </row>
    <row r="70" spans="1:6" ht="15" x14ac:dyDescent="0.25">
      <c r="A70" s="5">
        <v>897</v>
      </c>
      <c r="B70" s="6" t="s">
        <v>42</v>
      </c>
      <c r="C70" s="7">
        <v>1</v>
      </c>
      <c r="D70" s="14">
        <v>8</v>
      </c>
      <c r="F70" s="2">
        <f>(C70*D70)+(C71*D71)</f>
        <v>15.8</v>
      </c>
    </row>
    <row r="71" spans="1:6" ht="15" x14ac:dyDescent="0.25">
      <c r="A71" s="8">
        <v>897</v>
      </c>
      <c r="B71" s="3" t="s">
        <v>43</v>
      </c>
      <c r="C71" s="21">
        <v>26</v>
      </c>
      <c r="D71" s="20">
        <v>0.3</v>
      </c>
    </row>
    <row r="72" spans="1:6" ht="15.6" thickBot="1" x14ac:dyDescent="0.3">
      <c r="A72" s="9">
        <v>897</v>
      </c>
      <c r="B72" s="10" t="s">
        <v>7</v>
      </c>
      <c r="C72" s="11">
        <f>SUM(C70:C71)</f>
        <v>27</v>
      </c>
      <c r="D72" s="12">
        <f>F70/C72</f>
        <v>0.58518518518518525</v>
      </c>
    </row>
    <row r="73" spans="1:6" ht="15" x14ac:dyDescent="0.25">
      <c r="A73" s="5">
        <v>898</v>
      </c>
      <c r="B73" s="6" t="s">
        <v>44</v>
      </c>
      <c r="C73" s="18">
        <v>0</v>
      </c>
      <c r="D73" s="19">
        <v>0</v>
      </c>
      <c r="F73" s="2">
        <f>(C73*D73)+(C74*D74)</f>
        <v>10.8</v>
      </c>
    </row>
    <row r="74" spans="1:6" ht="15" x14ac:dyDescent="0.25">
      <c r="A74" s="8">
        <v>898</v>
      </c>
      <c r="B74" s="3" t="s">
        <v>45</v>
      </c>
      <c r="C74" s="21">
        <v>12</v>
      </c>
      <c r="D74" s="20">
        <v>0.9</v>
      </c>
    </row>
    <row r="75" spans="1:6" ht="15.6" thickBot="1" x14ac:dyDescent="0.3">
      <c r="A75" s="9">
        <v>898</v>
      </c>
      <c r="B75" s="10" t="s">
        <v>7</v>
      </c>
      <c r="C75" s="11">
        <f>SUM(C73:C74)</f>
        <v>12</v>
      </c>
      <c r="D75" s="12">
        <f>F73/C75</f>
        <v>0.9</v>
      </c>
    </row>
    <row r="76" spans="1:6" ht="15" x14ac:dyDescent="0.25">
      <c r="A76" s="5">
        <v>899</v>
      </c>
      <c r="B76" s="6" t="s">
        <v>46</v>
      </c>
      <c r="C76" s="18">
        <v>22</v>
      </c>
      <c r="D76" s="19">
        <v>4.8</v>
      </c>
      <c r="F76" s="2">
        <f>(C76*D76)+(C77*D77)</f>
        <v>105.6</v>
      </c>
    </row>
    <row r="77" spans="1:6" ht="15" x14ac:dyDescent="0.25">
      <c r="A77" s="8">
        <v>899</v>
      </c>
      <c r="B77" s="3" t="s">
        <v>47</v>
      </c>
      <c r="C77" s="4">
        <v>0</v>
      </c>
      <c r="D77" s="15">
        <v>0</v>
      </c>
    </row>
    <row r="78" spans="1:6" ht="15.6" thickBot="1" x14ac:dyDescent="0.3">
      <c r="A78" s="9">
        <v>899</v>
      </c>
      <c r="B78" s="10" t="s">
        <v>7</v>
      </c>
      <c r="C78" s="11">
        <f>SUM(C76:C77)</f>
        <v>22</v>
      </c>
      <c r="D78" s="12">
        <f>F76/C78</f>
        <v>4.8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21792-BA6C-4906-B6C4-461D23C14592}">
  <dimension ref="A2:I77"/>
  <sheetViews>
    <sheetView topLeftCell="A25" workbookViewId="0">
      <selection activeCell="I30" sqref="I30:I51"/>
    </sheetView>
  </sheetViews>
  <sheetFormatPr defaultColWidth="9.109375" defaultRowHeight="13.2" x14ac:dyDescent="0.25"/>
  <cols>
    <col min="1" max="2" width="12.6640625" style="2" customWidth="1"/>
    <col min="3" max="3" width="8.5546875" style="2" customWidth="1"/>
    <col min="4" max="4" width="19.109375" style="16" customWidth="1"/>
    <col min="5" max="7" width="10.44140625" style="2" customWidth="1"/>
    <col min="8" max="16384" width="9.109375" style="2"/>
  </cols>
  <sheetData>
    <row r="2" spans="1:6" ht="16.2" thickBot="1" x14ac:dyDescent="0.3">
      <c r="A2" s="1" t="s">
        <v>0</v>
      </c>
      <c r="B2" s="1" t="s">
        <v>1</v>
      </c>
      <c r="C2" s="1" t="s">
        <v>2</v>
      </c>
      <c r="D2" s="13" t="s">
        <v>3</v>
      </c>
    </row>
    <row r="3" spans="1:6" ht="15" x14ac:dyDescent="0.25">
      <c r="A3" s="47">
        <v>877</v>
      </c>
      <c r="B3" s="36" t="s">
        <v>98</v>
      </c>
      <c r="C3" s="36">
        <v>26</v>
      </c>
      <c r="D3" s="40">
        <v>2.6</v>
      </c>
    </row>
    <row r="4" spans="1:6" ht="16.2" thickBot="1" x14ac:dyDescent="0.3">
      <c r="A4" s="9">
        <v>877</v>
      </c>
      <c r="B4" s="42"/>
      <c r="C4" s="10">
        <v>26</v>
      </c>
      <c r="D4" s="12">
        <v>2.6</v>
      </c>
    </row>
    <row r="5" spans="1:6" ht="15" x14ac:dyDescent="0.25">
      <c r="A5" s="39" t="s">
        <v>95</v>
      </c>
      <c r="B5" s="36" t="s">
        <v>88</v>
      </c>
      <c r="C5" s="36">
        <v>8</v>
      </c>
      <c r="D5" s="40">
        <v>0.01</v>
      </c>
      <c r="F5" s="16"/>
    </row>
    <row r="6" spans="1:6" ht="16.2" thickBot="1" x14ac:dyDescent="0.3">
      <c r="A6" s="41"/>
      <c r="B6" s="42"/>
      <c r="C6" s="10">
        <v>8</v>
      </c>
      <c r="D6" s="12">
        <v>0.01</v>
      </c>
      <c r="F6" s="16"/>
    </row>
    <row r="7" spans="1:6" ht="15" x14ac:dyDescent="0.25">
      <c r="A7" s="17" t="s">
        <v>96</v>
      </c>
      <c r="B7" s="6" t="s">
        <v>4</v>
      </c>
      <c r="C7" s="18">
        <v>26</v>
      </c>
      <c r="D7" s="19">
        <v>8.3000000000000007</v>
      </c>
      <c r="F7" s="2">
        <f>(C7*D7)+(C8*D8)+(C9*D9)</f>
        <v>878.8</v>
      </c>
    </row>
    <row r="8" spans="1:6" ht="15" x14ac:dyDescent="0.25">
      <c r="A8" s="8">
        <v>879</v>
      </c>
      <c r="B8" s="3" t="s">
        <v>5</v>
      </c>
      <c r="C8" s="21">
        <v>10</v>
      </c>
      <c r="D8" s="20">
        <v>12.9</v>
      </c>
    </row>
    <row r="9" spans="1:6" ht="15" x14ac:dyDescent="0.25">
      <c r="A9" s="8">
        <v>879</v>
      </c>
      <c r="B9" s="3" t="s">
        <v>6</v>
      </c>
      <c r="C9" s="21">
        <v>12</v>
      </c>
      <c r="D9" s="20">
        <v>44.5</v>
      </c>
    </row>
    <row r="10" spans="1:6" ht="15.6" thickBot="1" x14ac:dyDescent="0.3">
      <c r="A10" s="9">
        <v>879</v>
      </c>
      <c r="B10" s="10" t="s">
        <v>7</v>
      </c>
      <c r="C10" s="11">
        <f>SUM(C7:C9)</f>
        <v>48</v>
      </c>
      <c r="D10" s="12">
        <f>F7/C10</f>
        <v>18.308333333333334</v>
      </c>
    </row>
    <row r="11" spans="1:6" ht="15" x14ac:dyDescent="0.25">
      <c r="A11" s="5">
        <v>880</v>
      </c>
      <c r="B11" s="6" t="s">
        <v>8</v>
      </c>
      <c r="C11" s="18">
        <v>0</v>
      </c>
      <c r="D11" s="19">
        <v>0</v>
      </c>
      <c r="F11" s="2">
        <f>(C11*D11)+(C13*D13)+(C12*D12)</f>
        <v>115.2</v>
      </c>
    </row>
    <row r="12" spans="1:6" ht="15" x14ac:dyDescent="0.25">
      <c r="A12" s="8">
        <v>880</v>
      </c>
      <c r="B12" s="3" t="s">
        <v>92</v>
      </c>
      <c r="C12" s="34">
        <v>18</v>
      </c>
      <c r="D12" s="35">
        <v>6.4</v>
      </c>
    </row>
    <row r="13" spans="1:6" ht="15" x14ac:dyDescent="0.25">
      <c r="A13" s="8">
        <v>880</v>
      </c>
      <c r="B13" s="3" t="s">
        <v>9</v>
      </c>
      <c r="C13" s="21">
        <v>0</v>
      </c>
      <c r="D13" s="20">
        <v>0</v>
      </c>
    </row>
    <row r="14" spans="1:6" ht="15.6" thickBot="1" x14ac:dyDescent="0.3">
      <c r="A14" s="9">
        <v>880</v>
      </c>
      <c r="B14" s="10" t="s">
        <v>7</v>
      </c>
      <c r="C14" s="11">
        <f>SUM(C11:C13)</f>
        <v>18</v>
      </c>
      <c r="D14" s="12">
        <f>F11/C14</f>
        <v>6.4</v>
      </c>
    </row>
    <row r="15" spans="1:6" ht="15" x14ac:dyDescent="0.25">
      <c r="A15" s="5">
        <v>881</v>
      </c>
      <c r="B15" s="6" t="s">
        <v>10</v>
      </c>
      <c r="C15" s="18">
        <v>0</v>
      </c>
      <c r="D15" s="19">
        <v>0</v>
      </c>
      <c r="F15" s="2">
        <f>(C15*D15)+(C16*D16)+(C17*D17)</f>
        <v>154</v>
      </c>
    </row>
    <row r="16" spans="1:6" ht="15" x14ac:dyDescent="0.25">
      <c r="A16" s="8">
        <v>881</v>
      </c>
      <c r="B16" s="3" t="s">
        <v>12</v>
      </c>
      <c r="C16" s="21">
        <v>35</v>
      </c>
      <c r="D16" s="20">
        <v>4.4000000000000004</v>
      </c>
    </row>
    <row r="17" spans="1:9" ht="15" x14ac:dyDescent="0.25">
      <c r="A17" s="8">
        <v>881</v>
      </c>
      <c r="B17" s="3" t="s">
        <v>11</v>
      </c>
      <c r="C17" s="21">
        <v>0</v>
      </c>
      <c r="D17" s="20">
        <v>0</v>
      </c>
    </row>
    <row r="18" spans="1:9" ht="15.6" thickBot="1" x14ac:dyDescent="0.3">
      <c r="A18" s="9">
        <v>881</v>
      </c>
      <c r="B18" s="10" t="s">
        <v>7</v>
      </c>
      <c r="C18" s="11">
        <f>SUM(C15:C17)</f>
        <v>35</v>
      </c>
      <c r="D18" s="12">
        <f>F15/C18</f>
        <v>4.4000000000000004</v>
      </c>
    </row>
    <row r="19" spans="1:9" ht="15" x14ac:dyDescent="0.25">
      <c r="A19" s="5">
        <v>882</v>
      </c>
      <c r="B19" s="6" t="s">
        <v>13</v>
      </c>
      <c r="C19" s="18">
        <v>64</v>
      </c>
      <c r="D19" s="19">
        <v>6.1</v>
      </c>
      <c r="F19" s="2">
        <f>(C19*D19)+(C20*D20)</f>
        <v>486.4</v>
      </c>
    </row>
    <row r="20" spans="1:9" ht="15" x14ac:dyDescent="0.25">
      <c r="A20" s="8">
        <v>882</v>
      </c>
      <c r="B20" s="3" t="s">
        <v>14</v>
      </c>
      <c r="C20" s="21">
        <v>4</v>
      </c>
      <c r="D20" s="20">
        <v>24</v>
      </c>
    </row>
    <row r="21" spans="1:9" ht="15.6" thickBot="1" x14ac:dyDescent="0.3">
      <c r="A21" s="9">
        <v>882</v>
      </c>
      <c r="B21" s="10" t="s">
        <v>7</v>
      </c>
      <c r="C21" s="11">
        <f>SUM(C19:C20)</f>
        <v>68</v>
      </c>
      <c r="D21" s="12">
        <f>F19/C21</f>
        <v>7.1529411764705877</v>
      </c>
    </row>
    <row r="22" spans="1:9" ht="15" x14ac:dyDescent="0.25">
      <c r="A22" s="5">
        <v>884</v>
      </c>
      <c r="B22" s="6" t="s">
        <v>15</v>
      </c>
      <c r="C22" s="18">
        <v>1</v>
      </c>
      <c r="D22" s="19">
        <v>0</v>
      </c>
      <c r="F22" s="2">
        <f>(C22*D22)+(C23*D23)+(C24*D24)</f>
        <v>86.9</v>
      </c>
    </row>
    <row r="23" spans="1:9" ht="15" x14ac:dyDescent="0.25">
      <c r="A23" s="8">
        <v>884</v>
      </c>
      <c r="B23" s="3" t="s">
        <v>16</v>
      </c>
      <c r="C23" s="21">
        <v>3</v>
      </c>
      <c r="D23" s="20">
        <v>0.6</v>
      </c>
    </row>
    <row r="24" spans="1:9" ht="15" x14ac:dyDescent="0.25">
      <c r="A24" s="8">
        <v>884</v>
      </c>
      <c r="B24" s="3" t="s">
        <v>17</v>
      </c>
      <c r="C24" s="21">
        <v>23</v>
      </c>
      <c r="D24" s="20">
        <v>3.7</v>
      </c>
    </row>
    <row r="25" spans="1:9" ht="15.6" thickBot="1" x14ac:dyDescent="0.3">
      <c r="A25" s="9">
        <v>884</v>
      </c>
      <c r="B25" s="10" t="s">
        <v>7</v>
      </c>
      <c r="C25" s="11">
        <f>SUM(C22:C24)</f>
        <v>27</v>
      </c>
      <c r="D25" s="12">
        <f>F22/C25</f>
        <v>3.2185185185185188</v>
      </c>
    </row>
    <row r="26" spans="1:9" ht="15" x14ac:dyDescent="0.25">
      <c r="A26" s="29" t="s">
        <v>97</v>
      </c>
      <c r="B26" s="27" t="s">
        <v>64</v>
      </c>
      <c r="C26" s="28">
        <v>9</v>
      </c>
      <c r="D26" s="32">
        <v>1.4</v>
      </c>
      <c r="F26" s="2">
        <f>(C26*D26)+(C27*D27)</f>
        <v>12.6</v>
      </c>
    </row>
    <row r="27" spans="1:9" ht="15" x14ac:dyDescent="0.25">
      <c r="A27" s="29" t="s">
        <v>97</v>
      </c>
      <c r="B27" s="27" t="s">
        <v>91</v>
      </c>
      <c r="C27" s="28">
        <v>0</v>
      </c>
      <c r="D27" s="32">
        <v>0</v>
      </c>
    </row>
    <row r="28" spans="1:9" ht="15.6" thickBot="1" x14ac:dyDescent="0.3">
      <c r="A28" s="30" t="s">
        <v>97</v>
      </c>
      <c r="B28" s="25"/>
      <c r="C28" s="26">
        <f>SUM(C26:C27)</f>
        <v>9</v>
      </c>
      <c r="D28" s="12">
        <f>F26/C28</f>
        <v>1.4</v>
      </c>
    </row>
    <row r="29" spans="1:9" ht="15" x14ac:dyDescent="0.25">
      <c r="A29" s="5">
        <v>886</v>
      </c>
      <c r="B29" s="6" t="s">
        <v>18</v>
      </c>
      <c r="C29" s="18">
        <v>26</v>
      </c>
      <c r="D29" s="19">
        <v>2</v>
      </c>
      <c r="F29" s="2">
        <f>(C29*D29)+(C31*D31)+(C30*D30)</f>
        <v>52</v>
      </c>
    </row>
    <row r="30" spans="1:9" ht="15" x14ac:dyDescent="0.25">
      <c r="A30" s="8">
        <v>886</v>
      </c>
      <c r="B30" s="3" t="s">
        <v>90</v>
      </c>
      <c r="C30" s="4">
        <v>0</v>
      </c>
      <c r="D30" s="33">
        <v>0</v>
      </c>
      <c r="I30" s="2">
        <v>2.6</v>
      </c>
    </row>
    <row r="31" spans="1:9" ht="15" x14ac:dyDescent="0.25">
      <c r="A31" s="8">
        <v>886</v>
      </c>
      <c r="B31" s="3" t="s">
        <v>19</v>
      </c>
      <c r="C31" s="4">
        <v>0</v>
      </c>
      <c r="D31" s="15">
        <v>0</v>
      </c>
      <c r="I31" s="2">
        <v>0</v>
      </c>
    </row>
    <row r="32" spans="1:9" ht="15.6" thickBot="1" x14ac:dyDescent="0.3">
      <c r="A32" s="9">
        <v>886</v>
      </c>
      <c r="B32" s="10" t="s">
        <v>7</v>
      </c>
      <c r="C32" s="11">
        <f>SUM(C29:C31)</f>
        <v>26</v>
      </c>
      <c r="D32" s="12">
        <f>F29/C32</f>
        <v>2</v>
      </c>
      <c r="I32" s="2">
        <v>18.3</v>
      </c>
    </row>
    <row r="33" spans="1:9" ht="15" x14ac:dyDescent="0.25">
      <c r="A33" s="5">
        <v>887</v>
      </c>
      <c r="B33" s="6" t="s">
        <v>20</v>
      </c>
      <c r="C33" s="7">
        <v>0</v>
      </c>
      <c r="D33" s="14">
        <v>0</v>
      </c>
      <c r="F33" s="2">
        <f>(C33*D33)+(C34*D34)</f>
        <v>36</v>
      </c>
      <c r="I33" s="2">
        <v>6.4</v>
      </c>
    </row>
    <row r="34" spans="1:9" ht="15" x14ac:dyDescent="0.25">
      <c r="A34" s="8">
        <v>887</v>
      </c>
      <c r="B34" s="3" t="s">
        <v>21</v>
      </c>
      <c r="C34" s="21">
        <v>20</v>
      </c>
      <c r="D34" s="20">
        <v>1.8</v>
      </c>
      <c r="I34" s="2">
        <v>4.4000000000000004</v>
      </c>
    </row>
    <row r="35" spans="1:9" ht="15.6" thickBot="1" x14ac:dyDescent="0.3">
      <c r="A35" s="9">
        <v>887</v>
      </c>
      <c r="B35" s="10" t="s">
        <v>7</v>
      </c>
      <c r="C35" s="11">
        <f>SUM(C33:C34)</f>
        <v>20</v>
      </c>
      <c r="D35" s="12">
        <f>F33/C35</f>
        <v>1.8</v>
      </c>
      <c r="I35" s="24">
        <v>7.2</v>
      </c>
    </row>
    <row r="36" spans="1:9" ht="15" x14ac:dyDescent="0.25">
      <c r="A36" s="5">
        <v>888</v>
      </c>
      <c r="B36" s="6" t="s">
        <v>22</v>
      </c>
      <c r="C36" s="18">
        <v>4</v>
      </c>
      <c r="D36" s="19">
        <v>12.7</v>
      </c>
      <c r="F36" s="2">
        <f>(C36*D36)+(C37*D37)+(C38*D38)+(C39*D39)</f>
        <v>212.8</v>
      </c>
      <c r="I36" s="24">
        <v>3.2</v>
      </c>
    </row>
    <row r="37" spans="1:9" ht="15" x14ac:dyDescent="0.25">
      <c r="A37" s="8">
        <v>888</v>
      </c>
      <c r="B37" s="3" t="s">
        <v>23</v>
      </c>
      <c r="C37" s="4">
        <v>2</v>
      </c>
      <c r="D37" s="15">
        <v>12.5</v>
      </c>
      <c r="I37" s="24">
        <v>1.4</v>
      </c>
    </row>
    <row r="38" spans="1:9" ht="15" x14ac:dyDescent="0.25">
      <c r="A38" s="8">
        <v>888</v>
      </c>
      <c r="B38" s="3" t="s">
        <v>24</v>
      </c>
      <c r="C38" s="21">
        <v>15</v>
      </c>
      <c r="D38" s="20">
        <v>9</v>
      </c>
      <c r="I38" s="24">
        <v>2</v>
      </c>
    </row>
    <row r="39" spans="1:9" ht="15" x14ac:dyDescent="0.25">
      <c r="A39" s="8">
        <v>888</v>
      </c>
      <c r="B39" s="3" t="s">
        <v>48</v>
      </c>
      <c r="C39" s="21">
        <v>1</v>
      </c>
      <c r="D39" s="20">
        <v>2</v>
      </c>
      <c r="I39" s="24">
        <v>1.8</v>
      </c>
    </row>
    <row r="40" spans="1:9" ht="15.6" thickBot="1" x14ac:dyDescent="0.3">
      <c r="A40" s="9">
        <v>888</v>
      </c>
      <c r="B40" s="10" t="s">
        <v>7</v>
      </c>
      <c r="C40" s="11">
        <f>SUM(C36:C39)</f>
        <v>22</v>
      </c>
      <c r="D40" s="12">
        <f>F36/C40</f>
        <v>9.6727272727272737</v>
      </c>
      <c r="I40" s="24">
        <v>9.6999999999999993</v>
      </c>
    </row>
    <row r="41" spans="1:9" ht="15" x14ac:dyDescent="0.25">
      <c r="A41" s="5">
        <v>889</v>
      </c>
      <c r="B41" s="6" t="s">
        <v>25</v>
      </c>
      <c r="C41" s="18">
        <v>24</v>
      </c>
      <c r="D41" s="19">
        <v>4.2</v>
      </c>
      <c r="F41" s="2">
        <f>(C41*D41)+(C42*D42)+(C43*D43)+(C44*D44)+(C45*D45)</f>
        <v>114.80000000000001</v>
      </c>
      <c r="I41" s="24">
        <v>2.6</v>
      </c>
    </row>
    <row r="42" spans="1:9" ht="15" x14ac:dyDescent="0.25">
      <c r="A42" s="8">
        <v>889</v>
      </c>
      <c r="B42" s="3" t="s">
        <v>26</v>
      </c>
      <c r="C42" s="21">
        <v>16</v>
      </c>
      <c r="D42" s="20">
        <v>0.5</v>
      </c>
      <c r="I42" s="24">
        <v>3</v>
      </c>
    </row>
    <row r="43" spans="1:9" ht="15" x14ac:dyDescent="0.25">
      <c r="A43" s="8">
        <v>889</v>
      </c>
      <c r="B43" s="3" t="s">
        <v>27</v>
      </c>
      <c r="C43" s="21">
        <v>0</v>
      </c>
      <c r="D43" s="20">
        <v>0</v>
      </c>
      <c r="I43" s="24">
        <v>4.4000000000000004</v>
      </c>
    </row>
    <row r="44" spans="1:9" ht="15" x14ac:dyDescent="0.25">
      <c r="A44" s="8">
        <v>889</v>
      </c>
      <c r="B44" s="3" t="s">
        <v>28</v>
      </c>
      <c r="C44" s="21">
        <v>0</v>
      </c>
      <c r="D44" s="20">
        <v>0</v>
      </c>
      <c r="I44" s="24">
        <v>5.8</v>
      </c>
    </row>
    <row r="45" spans="1:9" ht="15" x14ac:dyDescent="0.25">
      <c r="A45" s="8">
        <v>889</v>
      </c>
      <c r="B45" s="3" t="s">
        <v>87</v>
      </c>
      <c r="C45" s="4">
        <v>5</v>
      </c>
      <c r="D45" s="33">
        <v>1.2</v>
      </c>
      <c r="I45" s="24">
        <v>8.1</v>
      </c>
    </row>
    <row r="46" spans="1:9" ht="15.6" thickBot="1" x14ac:dyDescent="0.3">
      <c r="A46" s="9">
        <v>889</v>
      </c>
      <c r="B46" s="10" t="s">
        <v>7</v>
      </c>
      <c r="C46" s="11">
        <f>SUM(C41:C45)</f>
        <v>45</v>
      </c>
      <c r="D46" s="12">
        <f>F41/C46</f>
        <v>2.5511111111111116</v>
      </c>
      <c r="I46" s="24">
        <v>0.7</v>
      </c>
    </row>
    <row r="47" spans="1:9" ht="15" x14ac:dyDescent="0.25">
      <c r="A47" s="5">
        <v>890</v>
      </c>
      <c r="B47" s="6" t="s">
        <v>29</v>
      </c>
      <c r="C47" s="18">
        <v>29</v>
      </c>
      <c r="D47" s="19">
        <v>3</v>
      </c>
      <c r="F47" s="2">
        <f>(C47*D47)+(C48*D48)</f>
        <v>87</v>
      </c>
      <c r="I47" s="24">
        <v>15.2</v>
      </c>
    </row>
    <row r="48" spans="1:9" ht="15" x14ac:dyDescent="0.25">
      <c r="A48" s="8">
        <v>890</v>
      </c>
      <c r="B48" s="3" t="s">
        <v>30</v>
      </c>
      <c r="C48" s="21">
        <v>0</v>
      </c>
      <c r="D48" s="20">
        <v>0</v>
      </c>
      <c r="I48" s="24">
        <v>3.4</v>
      </c>
    </row>
    <row r="49" spans="1:9" ht="15.6" thickBot="1" x14ac:dyDescent="0.3">
      <c r="A49" s="9">
        <v>890</v>
      </c>
      <c r="B49" s="10" t="s">
        <v>7</v>
      </c>
      <c r="C49" s="11">
        <f>SUM(C47:C48)</f>
        <v>29</v>
      </c>
      <c r="D49" s="12">
        <f>F47/C49</f>
        <v>3</v>
      </c>
      <c r="I49" s="24">
        <v>0.4</v>
      </c>
    </row>
    <row r="50" spans="1:9" ht="15" x14ac:dyDescent="0.25">
      <c r="A50" s="5">
        <v>891</v>
      </c>
      <c r="B50" s="6" t="s">
        <v>31</v>
      </c>
      <c r="C50" s="7">
        <v>0</v>
      </c>
      <c r="D50" s="14">
        <v>0</v>
      </c>
      <c r="F50" s="2">
        <f>(C50*D50)+(C51*D51)+(C52*D52)</f>
        <v>106</v>
      </c>
      <c r="I50" s="24">
        <v>1.5</v>
      </c>
    </row>
    <row r="51" spans="1:9" ht="15" x14ac:dyDescent="0.25">
      <c r="A51" s="8">
        <v>891</v>
      </c>
      <c r="B51" s="3" t="s">
        <v>32</v>
      </c>
      <c r="C51" s="21">
        <v>13</v>
      </c>
      <c r="D51" s="20">
        <v>4.5999999999999996</v>
      </c>
      <c r="I51" s="44">
        <v>4.0999999999999996</v>
      </c>
    </row>
    <row r="52" spans="1:9" ht="15" x14ac:dyDescent="0.25">
      <c r="A52" s="8">
        <v>891</v>
      </c>
      <c r="B52" s="3" t="s">
        <v>33</v>
      </c>
      <c r="C52" s="21">
        <v>11</v>
      </c>
      <c r="D52" s="20">
        <v>4.2</v>
      </c>
      <c r="I52" s="43">
        <f>SUM(I31:I51)/21</f>
        <v>4.9333333333333336</v>
      </c>
    </row>
    <row r="53" spans="1:9" ht="15.6" thickBot="1" x14ac:dyDescent="0.3">
      <c r="A53" s="9">
        <v>891</v>
      </c>
      <c r="B53" s="10" t="s">
        <v>7</v>
      </c>
      <c r="C53" s="11">
        <f>SUM(C50:C52)</f>
        <v>24</v>
      </c>
      <c r="D53" s="12">
        <f>F50/C53</f>
        <v>4.416666666666667</v>
      </c>
    </row>
    <row r="54" spans="1:9" ht="15" x14ac:dyDescent="0.25">
      <c r="A54" s="5">
        <v>892</v>
      </c>
      <c r="B54" s="6" t="s">
        <v>34</v>
      </c>
      <c r="C54" s="18">
        <v>31</v>
      </c>
      <c r="D54" s="19">
        <v>6.1</v>
      </c>
      <c r="F54" s="2">
        <f>(C54*D54)+(C55*D55)</f>
        <v>191.1</v>
      </c>
    </row>
    <row r="55" spans="1:9" ht="15" x14ac:dyDescent="0.25">
      <c r="A55" s="8">
        <v>892</v>
      </c>
      <c r="B55" s="3" t="s">
        <v>49</v>
      </c>
      <c r="C55" s="21">
        <v>2</v>
      </c>
      <c r="D55" s="20">
        <v>1</v>
      </c>
    </row>
    <row r="56" spans="1:9" ht="15.6" thickBot="1" x14ac:dyDescent="0.3">
      <c r="A56" s="9">
        <v>892</v>
      </c>
      <c r="B56" s="10" t="s">
        <v>7</v>
      </c>
      <c r="C56" s="11">
        <f>SUM(C54:C55)</f>
        <v>33</v>
      </c>
      <c r="D56" s="12">
        <f>F54/C56</f>
        <v>5.790909090909091</v>
      </c>
    </row>
    <row r="57" spans="1:9" ht="15" x14ac:dyDescent="0.25">
      <c r="A57" s="5">
        <v>893</v>
      </c>
      <c r="B57" s="6" t="s">
        <v>35</v>
      </c>
      <c r="C57" s="18">
        <v>30</v>
      </c>
      <c r="D57" s="19">
        <v>8.3000000000000007</v>
      </c>
      <c r="F57" s="2">
        <f>(C57*D57)+(C59*D59)</f>
        <v>317</v>
      </c>
    </row>
    <row r="58" spans="1:9" ht="15" x14ac:dyDescent="0.25">
      <c r="A58" s="8">
        <v>893</v>
      </c>
      <c r="B58" s="3" t="s">
        <v>50</v>
      </c>
      <c r="C58" s="21">
        <v>1</v>
      </c>
      <c r="D58" s="20">
        <v>21</v>
      </c>
    </row>
    <row r="59" spans="1:9" ht="15" x14ac:dyDescent="0.25">
      <c r="A59" s="8">
        <v>893</v>
      </c>
      <c r="B59" s="3" t="s">
        <v>36</v>
      </c>
      <c r="C59" s="21">
        <v>8</v>
      </c>
      <c r="D59" s="20">
        <v>8.5</v>
      </c>
    </row>
    <row r="60" spans="1:9" ht="15.6" thickBot="1" x14ac:dyDescent="0.3">
      <c r="A60" s="9">
        <v>893</v>
      </c>
      <c r="B60" s="10" t="s">
        <v>7</v>
      </c>
      <c r="C60" s="11">
        <f>SUM(C57:C59)</f>
        <v>39</v>
      </c>
      <c r="D60" s="12">
        <f>F57/C60</f>
        <v>8.1282051282051277</v>
      </c>
    </row>
    <row r="61" spans="1:9" ht="15" x14ac:dyDescent="0.25">
      <c r="A61" s="5">
        <v>894</v>
      </c>
      <c r="B61" s="6" t="s">
        <v>37</v>
      </c>
      <c r="C61" s="18">
        <v>26</v>
      </c>
      <c r="D61" s="19">
        <v>0.7</v>
      </c>
      <c r="F61" s="2">
        <f>(C61*D61)+(C62*D62)</f>
        <v>18.2</v>
      </c>
    </row>
    <row r="62" spans="1:9" ht="15" x14ac:dyDescent="0.25">
      <c r="A62" s="8">
        <v>894</v>
      </c>
      <c r="B62" s="3" t="s">
        <v>38</v>
      </c>
      <c r="C62" s="4">
        <v>2</v>
      </c>
      <c r="D62" s="15">
        <v>0</v>
      </c>
    </row>
    <row r="63" spans="1:9" ht="15.6" thickBot="1" x14ac:dyDescent="0.3">
      <c r="A63" s="9">
        <v>894</v>
      </c>
      <c r="B63" s="10" t="s">
        <v>7</v>
      </c>
      <c r="C63" s="11">
        <f>SUM(C61:C62)</f>
        <v>28</v>
      </c>
      <c r="D63" s="12">
        <f>F61/C63</f>
        <v>0.65</v>
      </c>
    </row>
    <row r="64" spans="1:9" ht="15" x14ac:dyDescent="0.25">
      <c r="A64" s="5">
        <v>895</v>
      </c>
      <c r="B64" s="6" t="s">
        <v>39</v>
      </c>
      <c r="C64" s="7">
        <v>2</v>
      </c>
      <c r="D64" s="14">
        <v>32.5</v>
      </c>
      <c r="F64" s="2">
        <f>(C64*D64)+(C65*D65)</f>
        <v>833.5</v>
      </c>
    </row>
    <row r="65" spans="1:6" ht="15" x14ac:dyDescent="0.25">
      <c r="A65" s="8">
        <v>895</v>
      </c>
      <c r="B65" s="3" t="s">
        <v>40</v>
      </c>
      <c r="C65" s="21">
        <v>53</v>
      </c>
      <c r="D65" s="20">
        <v>14.5</v>
      </c>
    </row>
    <row r="66" spans="1:6" ht="15.6" thickBot="1" x14ac:dyDescent="0.3">
      <c r="A66" s="9">
        <v>895</v>
      </c>
      <c r="B66" s="10" t="s">
        <v>7</v>
      </c>
      <c r="C66" s="11">
        <f>SUM(C64:C65)</f>
        <v>55</v>
      </c>
      <c r="D66" s="12">
        <f>F64/C66</f>
        <v>15.154545454545454</v>
      </c>
    </row>
    <row r="67" spans="1:6" ht="15" x14ac:dyDescent="0.25">
      <c r="A67" s="5">
        <v>896</v>
      </c>
      <c r="B67" s="6" t="s">
        <v>41</v>
      </c>
      <c r="C67" s="18">
        <v>21</v>
      </c>
      <c r="D67" s="19">
        <v>4.0999999999999996</v>
      </c>
    </row>
    <row r="68" spans="1:6" ht="15.6" thickBot="1" x14ac:dyDescent="0.3">
      <c r="A68" s="9">
        <v>896</v>
      </c>
      <c r="B68" s="10" t="s">
        <v>7</v>
      </c>
      <c r="C68" s="10">
        <v>17</v>
      </c>
      <c r="D68" s="12">
        <v>3.4</v>
      </c>
    </row>
    <row r="69" spans="1:6" ht="15" x14ac:dyDescent="0.25">
      <c r="A69" s="5">
        <v>897</v>
      </c>
      <c r="B69" s="6" t="s">
        <v>42</v>
      </c>
      <c r="C69" s="7">
        <v>2</v>
      </c>
      <c r="D69" s="14">
        <v>1.5</v>
      </c>
      <c r="F69" s="2">
        <f>(C69*D69)+(C70*D70)</f>
        <v>12.9</v>
      </c>
    </row>
    <row r="70" spans="1:6" ht="15" x14ac:dyDescent="0.25">
      <c r="A70" s="8">
        <v>897</v>
      </c>
      <c r="B70" s="3" t="s">
        <v>43</v>
      </c>
      <c r="C70" s="21">
        <v>33</v>
      </c>
      <c r="D70" s="20">
        <v>0.3</v>
      </c>
    </row>
    <row r="71" spans="1:6" ht="15.6" thickBot="1" x14ac:dyDescent="0.3">
      <c r="A71" s="9">
        <v>897</v>
      </c>
      <c r="B71" s="10" t="s">
        <v>7</v>
      </c>
      <c r="C71" s="11">
        <f>SUM(C69:C70)</f>
        <v>35</v>
      </c>
      <c r="D71" s="12">
        <f>F69/C71</f>
        <v>0.36857142857142861</v>
      </c>
    </row>
    <row r="72" spans="1:6" ht="15" x14ac:dyDescent="0.25">
      <c r="A72" s="5">
        <v>898</v>
      </c>
      <c r="B72" s="6" t="s">
        <v>44</v>
      </c>
      <c r="C72" s="18">
        <v>2</v>
      </c>
      <c r="D72" s="19">
        <v>1.5</v>
      </c>
      <c r="F72" s="2">
        <f>(C72*D72)+(C73*D73)</f>
        <v>31.5</v>
      </c>
    </row>
    <row r="73" spans="1:6" ht="15" x14ac:dyDescent="0.25">
      <c r="A73" s="8">
        <v>898</v>
      </c>
      <c r="B73" s="3" t="s">
        <v>45</v>
      </c>
      <c r="C73" s="21">
        <v>19</v>
      </c>
      <c r="D73" s="20">
        <v>1.5</v>
      </c>
    </row>
    <row r="74" spans="1:6" ht="15.6" thickBot="1" x14ac:dyDescent="0.3">
      <c r="A74" s="9">
        <v>898</v>
      </c>
      <c r="B74" s="10" t="s">
        <v>7</v>
      </c>
      <c r="C74" s="11">
        <f>SUM(C72:C73)</f>
        <v>21</v>
      </c>
      <c r="D74" s="12">
        <f>F72/C74</f>
        <v>1.5</v>
      </c>
    </row>
    <row r="75" spans="1:6" ht="15" x14ac:dyDescent="0.25">
      <c r="A75" s="5">
        <v>899</v>
      </c>
      <c r="B75" s="6" t="s">
        <v>46</v>
      </c>
      <c r="C75" s="18">
        <v>20</v>
      </c>
      <c r="D75" s="19">
        <v>4.0999999999999996</v>
      </c>
      <c r="F75" s="2">
        <f>(C75*D75)+(C76*D76)</f>
        <v>82</v>
      </c>
    </row>
    <row r="76" spans="1:6" ht="15" x14ac:dyDescent="0.25">
      <c r="A76" s="8">
        <v>899</v>
      </c>
      <c r="B76" s="3" t="s">
        <v>47</v>
      </c>
      <c r="C76" s="4">
        <v>0</v>
      </c>
      <c r="D76" s="15">
        <v>0</v>
      </c>
    </row>
    <row r="77" spans="1:6" ht="15.6" thickBot="1" x14ac:dyDescent="0.3">
      <c r="A77" s="9">
        <v>899</v>
      </c>
      <c r="B77" s="10" t="s">
        <v>7</v>
      </c>
      <c r="C77" s="11">
        <f>SUM(C75:C76)</f>
        <v>20</v>
      </c>
      <c r="D77" s="12">
        <f>F75/C77</f>
        <v>4.0999999999999996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C4028-8EB4-4B60-AAC1-7F3A03743D66}">
  <dimension ref="A2:I78"/>
  <sheetViews>
    <sheetView topLeftCell="A26" workbookViewId="0">
      <selection activeCell="I30" sqref="I30:I51"/>
    </sheetView>
  </sheetViews>
  <sheetFormatPr defaultColWidth="9.109375" defaultRowHeight="13.2" x14ac:dyDescent="0.25"/>
  <cols>
    <col min="1" max="2" width="12.6640625" style="2" customWidth="1"/>
    <col min="3" max="3" width="8.5546875" style="2" customWidth="1"/>
    <col min="4" max="4" width="19.109375" style="16" customWidth="1"/>
    <col min="5" max="7" width="10.44140625" style="2" customWidth="1"/>
    <col min="8" max="16384" width="9.109375" style="2"/>
  </cols>
  <sheetData>
    <row r="2" spans="1:6" ht="16.2" thickBot="1" x14ac:dyDescent="0.3">
      <c r="A2" s="1" t="s">
        <v>0</v>
      </c>
      <c r="B2" s="1" t="s">
        <v>1</v>
      </c>
      <c r="C2" s="1" t="s">
        <v>2</v>
      </c>
      <c r="D2" s="13" t="s">
        <v>3</v>
      </c>
    </row>
    <row r="3" spans="1:6" ht="15" x14ac:dyDescent="0.25">
      <c r="A3" s="47">
        <v>877</v>
      </c>
      <c r="B3" s="36" t="s">
        <v>98</v>
      </c>
      <c r="C3" s="36">
        <v>17</v>
      </c>
      <c r="D3" s="40">
        <v>7.6</v>
      </c>
    </row>
    <row r="4" spans="1:6" ht="16.2" thickBot="1" x14ac:dyDescent="0.3">
      <c r="A4" s="9">
        <v>877</v>
      </c>
      <c r="B4" s="42"/>
      <c r="C4" s="10">
        <v>17</v>
      </c>
      <c r="D4" s="12">
        <v>7.6</v>
      </c>
    </row>
    <row r="5" spans="1:6" ht="15" x14ac:dyDescent="0.25">
      <c r="A5" s="39" t="s">
        <v>95</v>
      </c>
      <c r="B5" s="36" t="s">
        <v>88</v>
      </c>
      <c r="C5" s="36">
        <v>27</v>
      </c>
      <c r="D5" s="40">
        <v>0</v>
      </c>
      <c r="F5" s="16"/>
    </row>
    <row r="6" spans="1:6" ht="16.2" thickBot="1" x14ac:dyDescent="0.3">
      <c r="A6" s="41"/>
      <c r="B6" s="42"/>
      <c r="C6" s="10">
        <v>27</v>
      </c>
      <c r="D6" s="12">
        <v>0</v>
      </c>
      <c r="F6" s="16"/>
    </row>
    <row r="7" spans="1:6" ht="15" x14ac:dyDescent="0.25">
      <c r="A7" s="17" t="s">
        <v>96</v>
      </c>
      <c r="B7" s="6" t="s">
        <v>4</v>
      </c>
      <c r="C7" s="18">
        <v>28</v>
      </c>
      <c r="D7" s="19">
        <v>17.100000000000001</v>
      </c>
      <c r="F7" s="2">
        <f>(C7*D7)+(C8*D8)+(C9*D9)</f>
        <v>536.80000000000007</v>
      </c>
    </row>
    <row r="8" spans="1:6" ht="15" x14ac:dyDescent="0.25">
      <c r="A8" s="8">
        <v>879</v>
      </c>
      <c r="B8" s="3" t="s">
        <v>5</v>
      </c>
      <c r="C8" s="21">
        <v>2</v>
      </c>
      <c r="D8" s="20">
        <v>18</v>
      </c>
    </row>
    <row r="9" spans="1:6" ht="15" x14ac:dyDescent="0.25">
      <c r="A9" s="8">
        <v>879</v>
      </c>
      <c r="B9" s="3" t="s">
        <v>6</v>
      </c>
      <c r="C9" s="21">
        <v>2</v>
      </c>
      <c r="D9" s="20">
        <v>11</v>
      </c>
    </row>
    <row r="10" spans="1:6" ht="15.6" thickBot="1" x14ac:dyDescent="0.3">
      <c r="A10" s="9">
        <v>879</v>
      </c>
      <c r="B10" s="10" t="s">
        <v>7</v>
      </c>
      <c r="C10" s="11">
        <f>SUM(C7:C9)</f>
        <v>32</v>
      </c>
      <c r="D10" s="12">
        <f>F7/C10</f>
        <v>16.775000000000002</v>
      </c>
    </row>
    <row r="11" spans="1:6" ht="15" x14ac:dyDescent="0.25">
      <c r="A11" s="5">
        <v>880</v>
      </c>
      <c r="B11" s="6" t="s">
        <v>8</v>
      </c>
      <c r="C11" s="18">
        <v>0</v>
      </c>
      <c r="D11" s="19">
        <v>0</v>
      </c>
      <c r="F11" s="2">
        <f>(C11*D11)+(C13*D13)+(C12*D12)</f>
        <v>262.8</v>
      </c>
    </row>
    <row r="12" spans="1:6" ht="15" x14ac:dyDescent="0.25">
      <c r="A12" s="8">
        <v>880</v>
      </c>
      <c r="B12" s="3" t="s">
        <v>92</v>
      </c>
      <c r="C12" s="34">
        <v>0</v>
      </c>
      <c r="D12" s="35">
        <v>0</v>
      </c>
    </row>
    <row r="13" spans="1:6" ht="15" x14ac:dyDescent="0.25">
      <c r="A13" s="8">
        <v>880</v>
      </c>
      <c r="B13" s="3" t="s">
        <v>9</v>
      </c>
      <c r="C13" s="21">
        <v>36</v>
      </c>
      <c r="D13" s="20">
        <v>7.3</v>
      </c>
    </row>
    <row r="14" spans="1:6" ht="15.6" thickBot="1" x14ac:dyDescent="0.3">
      <c r="A14" s="9">
        <v>880</v>
      </c>
      <c r="B14" s="10" t="s">
        <v>7</v>
      </c>
      <c r="C14" s="11">
        <f>SUM(C11:C13)</f>
        <v>36</v>
      </c>
      <c r="D14" s="12">
        <f>F11/C14</f>
        <v>7.3000000000000007</v>
      </c>
    </row>
    <row r="15" spans="1:6" ht="15" x14ac:dyDescent="0.25">
      <c r="A15" s="5">
        <v>881</v>
      </c>
      <c r="B15" s="6" t="s">
        <v>10</v>
      </c>
      <c r="C15" s="18">
        <v>0</v>
      </c>
      <c r="D15" s="19">
        <v>0</v>
      </c>
      <c r="F15" s="2">
        <f>(C15*D15)+(C16*D16)+(C17*D17)</f>
        <v>103.2</v>
      </c>
    </row>
    <row r="16" spans="1:6" ht="15" x14ac:dyDescent="0.25">
      <c r="A16" s="8">
        <v>881</v>
      </c>
      <c r="B16" s="3" t="s">
        <v>12</v>
      </c>
      <c r="C16" s="21">
        <v>23</v>
      </c>
      <c r="D16" s="20">
        <v>4.4000000000000004</v>
      </c>
    </row>
    <row r="17" spans="1:9" ht="15" x14ac:dyDescent="0.25">
      <c r="A17" s="8">
        <v>881</v>
      </c>
      <c r="B17" s="3" t="s">
        <v>11</v>
      </c>
      <c r="C17" s="21">
        <v>1</v>
      </c>
      <c r="D17" s="20">
        <v>2</v>
      </c>
    </row>
    <row r="18" spans="1:9" ht="15.6" thickBot="1" x14ac:dyDescent="0.3">
      <c r="A18" s="9">
        <v>881</v>
      </c>
      <c r="B18" s="10" t="s">
        <v>7</v>
      </c>
      <c r="C18" s="11">
        <f>SUM(C15:C17)</f>
        <v>24</v>
      </c>
      <c r="D18" s="12">
        <f>F15/C18</f>
        <v>4.3</v>
      </c>
    </row>
    <row r="19" spans="1:9" ht="15" x14ac:dyDescent="0.25">
      <c r="A19" s="5">
        <v>882</v>
      </c>
      <c r="B19" s="6" t="s">
        <v>13</v>
      </c>
      <c r="C19" s="18">
        <v>62</v>
      </c>
      <c r="D19" s="19">
        <v>6.5</v>
      </c>
      <c r="F19" s="2">
        <f>(C19*D19)+(C20*D20)</f>
        <v>419</v>
      </c>
    </row>
    <row r="20" spans="1:9" ht="15" x14ac:dyDescent="0.25">
      <c r="A20" s="8">
        <v>882</v>
      </c>
      <c r="B20" s="3" t="s">
        <v>14</v>
      </c>
      <c r="C20" s="21">
        <v>2</v>
      </c>
      <c r="D20" s="20">
        <v>8</v>
      </c>
    </row>
    <row r="21" spans="1:9" ht="15.6" thickBot="1" x14ac:dyDescent="0.3">
      <c r="A21" s="9">
        <v>882</v>
      </c>
      <c r="B21" s="10" t="s">
        <v>7</v>
      </c>
      <c r="C21" s="11">
        <f>SUM(C19:C20)</f>
        <v>64</v>
      </c>
      <c r="D21" s="12">
        <f>F19/C21</f>
        <v>6.546875</v>
      </c>
    </row>
    <row r="22" spans="1:9" ht="15" x14ac:dyDescent="0.25">
      <c r="A22" s="5">
        <v>884</v>
      </c>
      <c r="B22" s="6" t="s">
        <v>15</v>
      </c>
      <c r="C22" s="18">
        <v>2</v>
      </c>
      <c r="D22" s="19">
        <v>40.5</v>
      </c>
      <c r="F22" s="2">
        <f>(C22*D22)+(C23*D23)+(C24*D24)</f>
        <v>117.60000000000001</v>
      </c>
    </row>
    <row r="23" spans="1:9" ht="15" x14ac:dyDescent="0.25">
      <c r="A23" s="8">
        <v>884</v>
      </c>
      <c r="B23" s="3" t="s">
        <v>16</v>
      </c>
      <c r="C23" s="21">
        <v>7</v>
      </c>
      <c r="D23" s="20">
        <v>0.2</v>
      </c>
    </row>
    <row r="24" spans="1:9" ht="15" x14ac:dyDescent="0.25">
      <c r="A24" s="8">
        <v>884</v>
      </c>
      <c r="B24" s="3" t="s">
        <v>17</v>
      </c>
      <c r="C24" s="21">
        <v>88</v>
      </c>
      <c r="D24" s="20">
        <v>0.4</v>
      </c>
    </row>
    <row r="25" spans="1:9" ht="15.6" thickBot="1" x14ac:dyDescent="0.3">
      <c r="A25" s="9">
        <v>884</v>
      </c>
      <c r="B25" s="10" t="s">
        <v>7</v>
      </c>
      <c r="C25" s="11">
        <f>SUM(C22:C24)</f>
        <v>97</v>
      </c>
      <c r="D25" s="12">
        <f>F22/C25</f>
        <v>1.2123711340206187</v>
      </c>
    </row>
    <row r="26" spans="1:9" ht="15" x14ac:dyDescent="0.25">
      <c r="A26" s="29" t="s">
        <v>97</v>
      </c>
      <c r="B26" s="27" t="s">
        <v>64</v>
      </c>
      <c r="C26" s="28">
        <v>17</v>
      </c>
      <c r="D26" s="32">
        <v>1.8</v>
      </c>
      <c r="F26" s="2">
        <f>(C26*D26)+(C27*D27)</f>
        <v>30.6</v>
      </c>
    </row>
    <row r="27" spans="1:9" ht="15" x14ac:dyDescent="0.25">
      <c r="A27" s="29" t="s">
        <v>97</v>
      </c>
      <c r="B27" s="27" t="s">
        <v>91</v>
      </c>
      <c r="C27" s="28">
        <v>0</v>
      </c>
      <c r="D27" s="32">
        <v>0</v>
      </c>
    </row>
    <row r="28" spans="1:9" ht="15.6" thickBot="1" x14ac:dyDescent="0.3">
      <c r="A28" s="30" t="s">
        <v>97</v>
      </c>
      <c r="B28" s="25"/>
      <c r="C28" s="26">
        <f>SUM(C26:C27)</f>
        <v>17</v>
      </c>
      <c r="D28" s="12">
        <f>F26/C28</f>
        <v>1.8</v>
      </c>
    </row>
    <row r="29" spans="1:9" ht="15" x14ac:dyDescent="0.25">
      <c r="A29" s="5">
        <v>886</v>
      </c>
      <c r="B29" s="6" t="s">
        <v>18</v>
      </c>
      <c r="C29" s="18">
        <v>31</v>
      </c>
      <c r="D29" s="19">
        <v>2</v>
      </c>
      <c r="F29" s="2">
        <f>(C29*D29)+(C31*D31)+(C30*D30)</f>
        <v>65.900000000000006</v>
      </c>
    </row>
    <row r="30" spans="1:9" ht="15" x14ac:dyDescent="0.25">
      <c r="A30" s="8">
        <v>886</v>
      </c>
      <c r="B30" s="3" t="s">
        <v>90</v>
      </c>
      <c r="C30" s="4">
        <v>3</v>
      </c>
      <c r="D30" s="33">
        <v>1.3</v>
      </c>
      <c r="I30" s="2">
        <v>7.6</v>
      </c>
    </row>
    <row r="31" spans="1:9" ht="15" x14ac:dyDescent="0.25">
      <c r="A31" s="8">
        <v>886</v>
      </c>
      <c r="B31" s="3" t="s">
        <v>19</v>
      </c>
      <c r="C31" s="4">
        <v>0</v>
      </c>
      <c r="D31" s="15">
        <v>0</v>
      </c>
      <c r="I31" s="2">
        <v>0</v>
      </c>
    </row>
    <row r="32" spans="1:9" ht="15.6" thickBot="1" x14ac:dyDescent="0.3">
      <c r="A32" s="9">
        <v>886</v>
      </c>
      <c r="B32" s="10" t="s">
        <v>7</v>
      </c>
      <c r="C32" s="11">
        <f>SUM(C29:C31)</f>
        <v>34</v>
      </c>
      <c r="D32" s="12">
        <f>F29/C32</f>
        <v>1.9382352941176473</v>
      </c>
      <c r="I32" s="2">
        <v>16.8</v>
      </c>
    </row>
    <row r="33" spans="1:9" ht="15" x14ac:dyDescent="0.25">
      <c r="A33" s="5">
        <v>887</v>
      </c>
      <c r="B33" s="6" t="s">
        <v>20</v>
      </c>
      <c r="C33" s="7">
        <v>2</v>
      </c>
      <c r="D33" s="14">
        <v>0.5</v>
      </c>
      <c r="F33" s="2">
        <f>(C33*D33)+(C34*D34)</f>
        <v>6.7</v>
      </c>
      <c r="I33" s="2">
        <v>7.3</v>
      </c>
    </row>
    <row r="34" spans="1:9" ht="15" x14ac:dyDescent="0.25">
      <c r="A34" s="8">
        <v>887</v>
      </c>
      <c r="B34" s="3" t="s">
        <v>21</v>
      </c>
      <c r="C34" s="21">
        <v>19</v>
      </c>
      <c r="D34" s="20">
        <v>0.3</v>
      </c>
      <c r="I34" s="24">
        <v>4.3</v>
      </c>
    </row>
    <row r="35" spans="1:9" ht="15.6" thickBot="1" x14ac:dyDescent="0.3">
      <c r="A35" s="9">
        <v>887</v>
      </c>
      <c r="B35" s="10" t="s">
        <v>7</v>
      </c>
      <c r="C35" s="11">
        <f>SUM(C33:C34)</f>
        <v>21</v>
      </c>
      <c r="D35" s="12">
        <f>F33/C35</f>
        <v>0.31904761904761908</v>
      </c>
      <c r="I35" s="24">
        <v>6.5</v>
      </c>
    </row>
    <row r="36" spans="1:9" ht="15" x14ac:dyDescent="0.25">
      <c r="A36" s="5">
        <v>888</v>
      </c>
      <c r="B36" s="6" t="s">
        <v>22</v>
      </c>
      <c r="C36" s="18">
        <v>1</v>
      </c>
      <c r="D36" s="19">
        <v>3</v>
      </c>
      <c r="F36" s="2">
        <f>(C36*D36)+(C37*D37)+(C38*D38)+(C39*D39)</f>
        <v>326.70000000000005</v>
      </c>
      <c r="I36" s="24">
        <v>1.2</v>
      </c>
    </row>
    <row r="37" spans="1:9" ht="15" x14ac:dyDescent="0.25">
      <c r="A37" s="8">
        <v>888</v>
      </c>
      <c r="B37" s="3" t="s">
        <v>23</v>
      </c>
      <c r="C37" s="4">
        <v>5</v>
      </c>
      <c r="D37" s="15">
        <v>5</v>
      </c>
      <c r="I37" s="24">
        <v>1.8</v>
      </c>
    </row>
    <row r="38" spans="1:9" ht="15" x14ac:dyDescent="0.25">
      <c r="A38" s="8">
        <v>888</v>
      </c>
      <c r="B38" s="3" t="s">
        <v>24</v>
      </c>
      <c r="C38" s="21">
        <v>29</v>
      </c>
      <c r="D38" s="20">
        <v>10.3</v>
      </c>
      <c r="I38" s="24">
        <v>1.9</v>
      </c>
    </row>
    <row r="39" spans="1:9" ht="15" x14ac:dyDescent="0.25">
      <c r="A39" s="8">
        <v>888</v>
      </c>
      <c r="B39" s="3" t="s">
        <v>48</v>
      </c>
      <c r="C39" s="21">
        <v>2</v>
      </c>
      <c r="D39" s="20">
        <v>0</v>
      </c>
      <c r="I39" s="24">
        <v>0.3</v>
      </c>
    </row>
    <row r="40" spans="1:9" ht="15.6" thickBot="1" x14ac:dyDescent="0.3">
      <c r="A40" s="9">
        <v>888</v>
      </c>
      <c r="B40" s="10" t="s">
        <v>7</v>
      </c>
      <c r="C40" s="11">
        <f>SUM(C36:C39)</f>
        <v>37</v>
      </c>
      <c r="D40" s="12">
        <f>F36/C40</f>
        <v>8.8297297297297312</v>
      </c>
      <c r="I40" s="24">
        <v>8.8000000000000007</v>
      </c>
    </row>
    <row r="41" spans="1:9" ht="15" x14ac:dyDescent="0.25">
      <c r="A41" s="5">
        <v>889</v>
      </c>
      <c r="B41" s="6" t="s">
        <v>25</v>
      </c>
      <c r="C41" s="18">
        <v>23</v>
      </c>
      <c r="D41" s="19">
        <v>2.8</v>
      </c>
      <c r="F41" s="2">
        <f>(C41*D41)+(C42*D42)+(C43*D43)+(C44*D44)+(C45*D45)</f>
        <v>92.399999999999991</v>
      </c>
      <c r="I41" s="24">
        <v>2.1</v>
      </c>
    </row>
    <row r="42" spans="1:9" ht="15" x14ac:dyDescent="0.25">
      <c r="A42" s="8">
        <v>889</v>
      </c>
      <c r="B42" s="3" t="s">
        <v>26</v>
      </c>
      <c r="C42" s="21">
        <v>14</v>
      </c>
      <c r="D42" s="20">
        <v>0.8</v>
      </c>
      <c r="I42" s="24">
        <v>4.0999999999999996</v>
      </c>
    </row>
    <row r="43" spans="1:9" ht="15" x14ac:dyDescent="0.25">
      <c r="A43" s="8">
        <v>889</v>
      </c>
      <c r="B43" s="3" t="s">
        <v>27</v>
      </c>
      <c r="C43" s="21">
        <v>0</v>
      </c>
      <c r="D43" s="20">
        <v>0</v>
      </c>
      <c r="I43" s="24">
        <v>10.6</v>
      </c>
    </row>
    <row r="44" spans="1:9" ht="15" x14ac:dyDescent="0.25">
      <c r="A44" s="8">
        <v>889</v>
      </c>
      <c r="B44" s="3" t="s">
        <v>28</v>
      </c>
      <c r="C44" s="21">
        <v>1</v>
      </c>
      <c r="D44" s="20">
        <v>7</v>
      </c>
      <c r="I44" s="24">
        <v>8.6999999999999993</v>
      </c>
    </row>
    <row r="45" spans="1:9" ht="15" x14ac:dyDescent="0.25">
      <c r="A45" s="8">
        <v>889</v>
      </c>
      <c r="B45" s="3" t="s">
        <v>87</v>
      </c>
      <c r="C45" s="4">
        <v>7</v>
      </c>
      <c r="D45" s="33">
        <v>1.4</v>
      </c>
      <c r="I45" s="24">
        <v>12.3</v>
      </c>
    </row>
    <row r="46" spans="1:9" ht="15.6" thickBot="1" x14ac:dyDescent="0.3">
      <c r="A46" s="9">
        <v>889</v>
      </c>
      <c r="B46" s="10" t="s">
        <v>7</v>
      </c>
      <c r="C46" s="11">
        <f>SUM(C41:C45)</f>
        <v>45</v>
      </c>
      <c r="D46" s="12">
        <f>F41/C46</f>
        <v>2.0533333333333332</v>
      </c>
      <c r="I46" s="24">
        <v>2</v>
      </c>
    </row>
    <row r="47" spans="1:9" ht="15" x14ac:dyDescent="0.25">
      <c r="A47" s="5">
        <v>890</v>
      </c>
      <c r="B47" s="6" t="s">
        <v>29</v>
      </c>
      <c r="C47" s="18">
        <v>23</v>
      </c>
      <c r="D47" s="19">
        <v>4.0999999999999996</v>
      </c>
      <c r="F47" s="2">
        <f>(C47*D47)+(C48*D48)</f>
        <v>94.3</v>
      </c>
      <c r="I47" s="24">
        <v>19.5</v>
      </c>
    </row>
    <row r="48" spans="1:9" ht="15" x14ac:dyDescent="0.25">
      <c r="A48" s="8">
        <v>890</v>
      </c>
      <c r="B48" s="3" t="s">
        <v>30</v>
      </c>
      <c r="C48" s="21">
        <v>0</v>
      </c>
      <c r="D48" s="20">
        <v>0</v>
      </c>
      <c r="I48" s="24">
        <v>6</v>
      </c>
    </row>
    <row r="49" spans="1:9" ht="15.6" thickBot="1" x14ac:dyDescent="0.3">
      <c r="A49" s="9">
        <v>890</v>
      </c>
      <c r="B49" s="10" t="s">
        <v>7</v>
      </c>
      <c r="C49" s="11">
        <f>SUM(C47:C48)</f>
        <v>23</v>
      </c>
      <c r="D49" s="12">
        <f>F47/C49</f>
        <v>4.0999999999999996</v>
      </c>
      <c r="I49" s="24">
        <v>0</v>
      </c>
    </row>
    <row r="50" spans="1:9" ht="15" x14ac:dyDescent="0.25">
      <c r="A50" s="5">
        <v>891</v>
      </c>
      <c r="B50" s="6" t="s">
        <v>31</v>
      </c>
      <c r="C50" s="7">
        <v>1</v>
      </c>
      <c r="D50" s="14">
        <v>0</v>
      </c>
      <c r="F50" s="2">
        <f>(C50*D50)+(C51*D51)+(C52*D52)</f>
        <v>232.20000000000002</v>
      </c>
      <c r="I50" s="44">
        <v>0.3</v>
      </c>
    </row>
    <row r="51" spans="1:9" ht="15" x14ac:dyDescent="0.25">
      <c r="A51" s="8">
        <v>891</v>
      </c>
      <c r="B51" s="3" t="s">
        <v>32</v>
      </c>
      <c r="C51" s="21">
        <v>8</v>
      </c>
      <c r="D51" s="20">
        <v>10.5</v>
      </c>
      <c r="I51" s="16">
        <v>0</v>
      </c>
    </row>
    <row r="52" spans="1:9" ht="15" x14ac:dyDescent="0.25">
      <c r="A52" s="8">
        <v>891</v>
      </c>
      <c r="B52" s="3" t="s">
        <v>33</v>
      </c>
      <c r="C52" s="21">
        <v>13</v>
      </c>
      <c r="D52" s="20">
        <v>11.4</v>
      </c>
      <c r="I52" s="16">
        <f>SUM(I30:I51)/22</f>
        <v>5.55</v>
      </c>
    </row>
    <row r="53" spans="1:9" ht="15.6" thickBot="1" x14ac:dyDescent="0.3">
      <c r="A53" s="9">
        <v>891</v>
      </c>
      <c r="B53" s="10" t="s">
        <v>7</v>
      </c>
      <c r="C53" s="11">
        <f>SUM(C50:C52)</f>
        <v>22</v>
      </c>
      <c r="D53" s="12">
        <f>F50/C53</f>
        <v>10.554545454545455</v>
      </c>
    </row>
    <row r="54" spans="1:9" ht="15" x14ac:dyDescent="0.25">
      <c r="A54" s="5">
        <v>892</v>
      </c>
      <c r="B54" s="6" t="s">
        <v>34</v>
      </c>
      <c r="C54" s="18">
        <v>53</v>
      </c>
      <c r="D54" s="19">
        <v>8.6999999999999993</v>
      </c>
      <c r="F54" s="2">
        <f>(C54*D54)+(C55*D55)</f>
        <v>461.09999999999997</v>
      </c>
    </row>
    <row r="55" spans="1:9" ht="15" x14ac:dyDescent="0.25">
      <c r="A55" s="8">
        <v>892</v>
      </c>
      <c r="B55" s="3" t="s">
        <v>49</v>
      </c>
      <c r="C55" s="21">
        <v>0</v>
      </c>
      <c r="D55" s="20">
        <v>0</v>
      </c>
    </row>
    <row r="56" spans="1:9" ht="15.6" thickBot="1" x14ac:dyDescent="0.3">
      <c r="A56" s="9">
        <v>892</v>
      </c>
      <c r="B56" s="10" t="s">
        <v>7</v>
      </c>
      <c r="C56" s="11">
        <f>SUM(C54:C55)</f>
        <v>53</v>
      </c>
      <c r="D56" s="12">
        <f>F54/C56</f>
        <v>8.6999999999999993</v>
      </c>
    </row>
    <row r="57" spans="1:9" ht="15" x14ac:dyDescent="0.25">
      <c r="A57" s="5">
        <v>893</v>
      </c>
      <c r="B57" s="6" t="s">
        <v>35</v>
      </c>
      <c r="C57" s="18">
        <v>26</v>
      </c>
      <c r="D57" s="19">
        <v>10.9</v>
      </c>
      <c r="F57" s="2">
        <f>(C57*D57)+(C59*D59)</f>
        <v>802.10000000000014</v>
      </c>
    </row>
    <row r="58" spans="1:9" ht="15" x14ac:dyDescent="0.25">
      <c r="A58" s="8">
        <v>893</v>
      </c>
      <c r="B58" s="3" t="s">
        <v>50</v>
      </c>
      <c r="C58" s="21">
        <v>0</v>
      </c>
      <c r="D58" s="20">
        <v>0</v>
      </c>
    </row>
    <row r="59" spans="1:9" ht="15" x14ac:dyDescent="0.25">
      <c r="A59" s="8">
        <v>893</v>
      </c>
      <c r="B59" s="3" t="s">
        <v>36</v>
      </c>
      <c r="C59" s="21">
        <v>39</v>
      </c>
      <c r="D59" s="20">
        <v>13.3</v>
      </c>
    </row>
    <row r="60" spans="1:9" ht="15.6" thickBot="1" x14ac:dyDescent="0.3">
      <c r="A60" s="9">
        <v>893</v>
      </c>
      <c r="B60" s="10" t="s">
        <v>7</v>
      </c>
      <c r="C60" s="11">
        <f>SUM(C57:C59)</f>
        <v>65</v>
      </c>
      <c r="D60" s="12">
        <f>F57/C60</f>
        <v>12.340000000000002</v>
      </c>
    </row>
    <row r="61" spans="1:9" ht="15" x14ac:dyDescent="0.25">
      <c r="A61" s="5">
        <v>894</v>
      </c>
      <c r="B61" s="6" t="s">
        <v>37</v>
      </c>
      <c r="C61" s="18">
        <v>32</v>
      </c>
      <c r="D61" s="19">
        <v>2.1</v>
      </c>
      <c r="F61" s="2">
        <f>(C61*D61)+(C62*D62)+(C63*D63)</f>
        <v>77.2</v>
      </c>
    </row>
    <row r="62" spans="1:9" ht="15" x14ac:dyDescent="0.25">
      <c r="A62" s="8">
        <v>894</v>
      </c>
      <c r="B62" s="3" t="s">
        <v>38</v>
      </c>
      <c r="C62" s="4">
        <v>2</v>
      </c>
      <c r="D62" s="15">
        <v>0</v>
      </c>
    </row>
    <row r="63" spans="1:9" ht="15" x14ac:dyDescent="0.25">
      <c r="A63" s="8">
        <v>894</v>
      </c>
      <c r="B63" s="3" t="s">
        <v>101</v>
      </c>
      <c r="C63" s="4">
        <v>5</v>
      </c>
      <c r="D63" s="15">
        <v>2</v>
      </c>
    </row>
    <row r="64" spans="1:9" ht="15.6" thickBot="1" x14ac:dyDescent="0.3">
      <c r="A64" s="9">
        <v>894</v>
      </c>
      <c r="B64" s="10" t="s">
        <v>7</v>
      </c>
      <c r="C64" s="11">
        <f>SUM(C61:C63)</f>
        <v>39</v>
      </c>
      <c r="D64" s="12">
        <f>F61/C64</f>
        <v>1.9794871794871796</v>
      </c>
    </row>
    <row r="65" spans="1:6" ht="15" x14ac:dyDescent="0.25">
      <c r="A65" s="5">
        <v>895</v>
      </c>
      <c r="B65" s="6" t="s">
        <v>39</v>
      </c>
      <c r="C65" s="7">
        <v>2</v>
      </c>
      <c r="D65" s="14">
        <v>30.5</v>
      </c>
      <c r="F65" s="2">
        <f>(C65*D65)+(C66*D66)</f>
        <v>1073.3000000000002</v>
      </c>
    </row>
    <row r="66" spans="1:6" ht="15" x14ac:dyDescent="0.25">
      <c r="A66" s="8">
        <v>895</v>
      </c>
      <c r="B66" s="3" t="s">
        <v>40</v>
      </c>
      <c r="C66" s="21">
        <v>53</v>
      </c>
      <c r="D66" s="20">
        <v>19.100000000000001</v>
      </c>
    </row>
    <row r="67" spans="1:6" ht="15.6" thickBot="1" x14ac:dyDescent="0.3">
      <c r="A67" s="9">
        <v>895</v>
      </c>
      <c r="B67" s="10" t="s">
        <v>7</v>
      </c>
      <c r="C67" s="11">
        <f>SUM(C65:C66)</f>
        <v>55</v>
      </c>
      <c r="D67" s="12">
        <f>F65/C67</f>
        <v>19.514545454545459</v>
      </c>
    </row>
    <row r="68" spans="1:6" ht="15" x14ac:dyDescent="0.25">
      <c r="A68" s="5">
        <v>896</v>
      </c>
      <c r="B68" s="6" t="s">
        <v>41</v>
      </c>
      <c r="C68" s="18">
        <v>21</v>
      </c>
      <c r="D68" s="19">
        <v>6</v>
      </c>
    </row>
    <row r="69" spans="1:6" ht="15.6" thickBot="1" x14ac:dyDescent="0.3">
      <c r="A69" s="9">
        <v>896</v>
      </c>
      <c r="B69" s="10" t="s">
        <v>7</v>
      </c>
      <c r="C69" s="10">
        <v>21</v>
      </c>
      <c r="D69" s="12">
        <v>6</v>
      </c>
    </row>
    <row r="70" spans="1:6" ht="15" x14ac:dyDescent="0.25">
      <c r="A70" s="5">
        <v>897</v>
      </c>
      <c r="B70" s="6" t="s">
        <v>42</v>
      </c>
      <c r="C70" s="7">
        <v>0</v>
      </c>
      <c r="D70" s="14">
        <v>0</v>
      </c>
      <c r="F70" s="2">
        <f>(C70*D70)+(C71*D71)</f>
        <v>0</v>
      </c>
    </row>
    <row r="71" spans="1:6" ht="15" x14ac:dyDescent="0.25">
      <c r="A71" s="8">
        <v>897</v>
      </c>
      <c r="B71" s="3" t="s">
        <v>43</v>
      </c>
      <c r="C71" s="21">
        <v>42</v>
      </c>
      <c r="D71" s="20">
        <v>0</v>
      </c>
    </row>
    <row r="72" spans="1:6" ht="15.6" thickBot="1" x14ac:dyDescent="0.3">
      <c r="A72" s="9">
        <v>897</v>
      </c>
      <c r="B72" s="10" t="s">
        <v>7</v>
      </c>
      <c r="C72" s="11">
        <f>SUM(C70:C71)</f>
        <v>42</v>
      </c>
      <c r="D72" s="12">
        <f>F70/C72</f>
        <v>0</v>
      </c>
    </row>
    <row r="73" spans="1:6" ht="15" x14ac:dyDescent="0.25">
      <c r="A73" s="5">
        <v>898</v>
      </c>
      <c r="B73" s="6" t="s">
        <v>44</v>
      </c>
      <c r="C73" s="18">
        <v>0</v>
      </c>
      <c r="D73" s="19">
        <v>0</v>
      </c>
      <c r="F73" s="2">
        <f>(C73*D73)+(C74*D74)</f>
        <v>3.9</v>
      </c>
    </row>
    <row r="74" spans="1:6" ht="15" x14ac:dyDescent="0.25">
      <c r="A74" s="8">
        <v>898</v>
      </c>
      <c r="B74" s="3" t="s">
        <v>45</v>
      </c>
      <c r="C74" s="21">
        <v>13</v>
      </c>
      <c r="D74" s="20">
        <v>0.3</v>
      </c>
    </row>
    <row r="75" spans="1:6" ht="15.6" thickBot="1" x14ac:dyDescent="0.3">
      <c r="A75" s="9">
        <v>898</v>
      </c>
      <c r="B75" s="10" t="s">
        <v>7</v>
      </c>
      <c r="C75" s="11">
        <f>SUM(C73:C74)</f>
        <v>13</v>
      </c>
      <c r="D75" s="12">
        <f>F73/C75</f>
        <v>0.3</v>
      </c>
    </row>
    <row r="76" spans="1:6" ht="15" x14ac:dyDescent="0.25">
      <c r="A76" s="5">
        <v>899</v>
      </c>
      <c r="B76" s="6" t="s">
        <v>46</v>
      </c>
      <c r="C76" s="18">
        <v>18</v>
      </c>
      <c r="D76" s="19">
        <v>9.5</v>
      </c>
      <c r="F76" s="2">
        <f>(C76*D76)+(C77*D77)</f>
        <v>171</v>
      </c>
    </row>
    <row r="77" spans="1:6" ht="15" x14ac:dyDescent="0.25">
      <c r="A77" s="8">
        <v>899</v>
      </c>
      <c r="B77" s="3" t="s">
        <v>47</v>
      </c>
      <c r="C77" s="4">
        <v>0</v>
      </c>
      <c r="D77" s="15">
        <v>0</v>
      </c>
    </row>
    <row r="78" spans="1:6" ht="15.6" thickBot="1" x14ac:dyDescent="0.3">
      <c r="A78" s="9">
        <v>899</v>
      </c>
      <c r="B78" s="10" t="s">
        <v>7</v>
      </c>
      <c r="C78" s="11">
        <f>SUM(C76:C77)</f>
        <v>18</v>
      </c>
      <c r="D78" s="12">
        <f>F76/C78</f>
        <v>9.5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4153D-0D4C-4894-B857-5C98B256BB47}">
  <dimension ref="A2:I77"/>
  <sheetViews>
    <sheetView topLeftCell="A24" workbookViewId="0">
      <selection activeCell="I30" sqref="I30:I51"/>
    </sheetView>
  </sheetViews>
  <sheetFormatPr defaultColWidth="9.109375" defaultRowHeight="13.2" x14ac:dyDescent="0.25"/>
  <cols>
    <col min="1" max="2" width="12.6640625" style="2" customWidth="1"/>
    <col min="3" max="3" width="8.5546875" style="2" customWidth="1"/>
    <col min="4" max="4" width="19.109375" style="16" customWidth="1"/>
    <col min="5" max="7" width="10.44140625" style="2" customWidth="1"/>
    <col min="8" max="16384" width="9.109375" style="2"/>
  </cols>
  <sheetData>
    <row r="2" spans="1:6" ht="16.2" thickBot="1" x14ac:dyDescent="0.3">
      <c r="A2" s="1" t="s">
        <v>0</v>
      </c>
      <c r="B2" s="1" t="s">
        <v>1</v>
      </c>
      <c r="C2" s="1" t="s">
        <v>2</v>
      </c>
      <c r="D2" s="13" t="s">
        <v>3</v>
      </c>
    </row>
    <row r="3" spans="1:6" ht="15" x14ac:dyDescent="0.25">
      <c r="A3" s="47">
        <v>877</v>
      </c>
      <c r="B3" s="36" t="s">
        <v>98</v>
      </c>
      <c r="C3" s="36">
        <v>17</v>
      </c>
      <c r="D3" s="40">
        <v>10.199999999999999</v>
      </c>
    </row>
    <row r="4" spans="1:6" ht="16.2" thickBot="1" x14ac:dyDescent="0.3">
      <c r="A4" s="9">
        <v>877</v>
      </c>
      <c r="B4" s="42"/>
      <c r="C4" s="10">
        <v>17</v>
      </c>
      <c r="D4" s="12">
        <v>10.199999999999999</v>
      </c>
    </row>
    <row r="5" spans="1:6" ht="15" x14ac:dyDescent="0.25">
      <c r="A5" s="39" t="s">
        <v>95</v>
      </c>
      <c r="B5" s="36" t="s">
        <v>88</v>
      </c>
      <c r="C5" s="36">
        <v>13</v>
      </c>
      <c r="D5" s="40">
        <v>0.3</v>
      </c>
      <c r="F5" s="16"/>
    </row>
    <row r="6" spans="1:6" ht="16.2" thickBot="1" x14ac:dyDescent="0.3">
      <c r="A6" s="41"/>
      <c r="B6" s="42"/>
      <c r="C6" s="10">
        <v>13</v>
      </c>
      <c r="D6" s="12">
        <v>0.3</v>
      </c>
      <c r="F6" s="16"/>
    </row>
    <row r="7" spans="1:6" ht="15" x14ac:dyDescent="0.25">
      <c r="A7" s="17" t="s">
        <v>96</v>
      </c>
      <c r="B7" s="6" t="s">
        <v>4</v>
      </c>
      <c r="C7" s="18">
        <v>23</v>
      </c>
      <c r="D7" s="19">
        <v>6.2</v>
      </c>
      <c r="F7" s="2">
        <f>(C7*D7)+(C8*D8)+(C9*D9)</f>
        <v>318.2</v>
      </c>
    </row>
    <row r="8" spans="1:6" ht="15" x14ac:dyDescent="0.25">
      <c r="A8" s="8">
        <v>879</v>
      </c>
      <c r="B8" s="3" t="s">
        <v>5</v>
      </c>
      <c r="C8" s="21">
        <v>6</v>
      </c>
      <c r="D8" s="20">
        <v>4.5999999999999996</v>
      </c>
    </row>
    <row r="9" spans="1:6" ht="15" x14ac:dyDescent="0.25">
      <c r="A9" s="8">
        <v>879</v>
      </c>
      <c r="B9" s="3" t="s">
        <v>6</v>
      </c>
      <c r="C9" s="21">
        <v>4</v>
      </c>
      <c r="D9" s="20">
        <v>37</v>
      </c>
    </row>
    <row r="10" spans="1:6" ht="15.6" thickBot="1" x14ac:dyDescent="0.3">
      <c r="A10" s="9">
        <v>879</v>
      </c>
      <c r="B10" s="10" t="s">
        <v>7</v>
      </c>
      <c r="C10" s="11">
        <f>SUM(C7:C9)</f>
        <v>33</v>
      </c>
      <c r="D10" s="12">
        <f>F7/C10</f>
        <v>9.6424242424242426</v>
      </c>
    </row>
    <row r="11" spans="1:6" ht="15" x14ac:dyDescent="0.25">
      <c r="A11" s="5">
        <v>880</v>
      </c>
      <c r="B11" s="6" t="s">
        <v>8</v>
      </c>
      <c r="C11" s="18">
        <v>0</v>
      </c>
      <c r="D11" s="19">
        <v>0</v>
      </c>
      <c r="F11" s="2">
        <f>(C11*D11)+(C13*D13)+(C12*D12)</f>
        <v>155.4</v>
      </c>
    </row>
    <row r="12" spans="1:6" ht="15" x14ac:dyDescent="0.25">
      <c r="A12" s="8">
        <v>880</v>
      </c>
      <c r="B12" s="3" t="s">
        <v>92</v>
      </c>
      <c r="C12" s="34">
        <v>0</v>
      </c>
      <c r="D12" s="35">
        <v>0</v>
      </c>
    </row>
    <row r="13" spans="1:6" ht="15" x14ac:dyDescent="0.25">
      <c r="A13" s="8">
        <v>880</v>
      </c>
      <c r="B13" s="3" t="s">
        <v>9</v>
      </c>
      <c r="C13" s="21">
        <v>37</v>
      </c>
      <c r="D13" s="20">
        <v>4.2</v>
      </c>
    </row>
    <row r="14" spans="1:6" ht="15.6" thickBot="1" x14ac:dyDescent="0.3">
      <c r="A14" s="9">
        <v>880</v>
      </c>
      <c r="B14" s="10" t="s">
        <v>7</v>
      </c>
      <c r="C14" s="11">
        <f>SUM(C11:C13)</f>
        <v>37</v>
      </c>
      <c r="D14" s="12">
        <f>F11/C14</f>
        <v>4.2</v>
      </c>
    </row>
    <row r="15" spans="1:6" ht="15" x14ac:dyDescent="0.25">
      <c r="A15" s="5">
        <v>881</v>
      </c>
      <c r="B15" s="6" t="s">
        <v>10</v>
      </c>
      <c r="C15" s="18">
        <v>0</v>
      </c>
      <c r="D15" s="19">
        <v>0</v>
      </c>
      <c r="F15" s="2">
        <f>(C15*D15)+(C16*D16)+(C17*D17)</f>
        <v>114.4</v>
      </c>
    </row>
    <row r="16" spans="1:6" ht="15" x14ac:dyDescent="0.25">
      <c r="A16" s="8">
        <v>881</v>
      </c>
      <c r="B16" s="3" t="s">
        <v>12</v>
      </c>
      <c r="C16" s="21">
        <v>26</v>
      </c>
      <c r="D16" s="20">
        <v>4.4000000000000004</v>
      </c>
    </row>
    <row r="17" spans="1:9" ht="15" x14ac:dyDescent="0.25">
      <c r="A17" s="8">
        <v>881</v>
      </c>
      <c r="B17" s="3" t="s">
        <v>11</v>
      </c>
      <c r="C17" s="21">
        <v>0</v>
      </c>
      <c r="D17" s="20">
        <v>0</v>
      </c>
    </row>
    <row r="18" spans="1:9" ht="15.6" thickBot="1" x14ac:dyDescent="0.3">
      <c r="A18" s="9">
        <v>881</v>
      </c>
      <c r="B18" s="10" t="s">
        <v>7</v>
      </c>
      <c r="C18" s="11">
        <f>SUM(C15:C17)</f>
        <v>26</v>
      </c>
      <c r="D18" s="12">
        <f>F15/C18</f>
        <v>4.4000000000000004</v>
      </c>
    </row>
    <row r="19" spans="1:9" ht="15" x14ac:dyDescent="0.25">
      <c r="A19" s="5">
        <v>882</v>
      </c>
      <c r="B19" s="6" t="s">
        <v>13</v>
      </c>
      <c r="C19" s="18">
        <v>45</v>
      </c>
      <c r="D19" s="19">
        <v>3.1</v>
      </c>
      <c r="F19" s="2">
        <f>(C19*D19)+(C20*D20)</f>
        <v>182.5</v>
      </c>
    </row>
    <row r="20" spans="1:9" ht="15" x14ac:dyDescent="0.25">
      <c r="A20" s="8">
        <v>882</v>
      </c>
      <c r="B20" s="3" t="s">
        <v>14</v>
      </c>
      <c r="C20" s="21">
        <v>2</v>
      </c>
      <c r="D20" s="20">
        <v>21.5</v>
      </c>
    </row>
    <row r="21" spans="1:9" ht="15.6" thickBot="1" x14ac:dyDescent="0.3">
      <c r="A21" s="9">
        <v>882</v>
      </c>
      <c r="B21" s="10" t="s">
        <v>7</v>
      </c>
      <c r="C21" s="11">
        <f>SUM(C19:C20)</f>
        <v>47</v>
      </c>
      <c r="D21" s="12">
        <f>F19/C21</f>
        <v>3.8829787234042552</v>
      </c>
    </row>
    <row r="22" spans="1:9" ht="15" x14ac:dyDescent="0.25">
      <c r="A22" s="5">
        <v>884</v>
      </c>
      <c r="B22" s="6" t="s">
        <v>15</v>
      </c>
      <c r="C22" s="18">
        <v>0</v>
      </c>
      <c r="D22" s="19">
        <v>0</v>
      </c>
      <c r="F22" s="2">
        <f>(C22*D22)+(C23*D23)+(C24*D24)</f>
        <v>107.7</v>
      </c>
    </row>
    <row r="23" spans="1:9" ht="15" x14ac:dyDescent="0.25">
      <c r="A23" s="8">
        <v>884</v>
      </c>
      <c r="B23" s="3" t="s">
        <v>16</v>
      </c>
      <c r="C23" s="21">
        <v>11</v>
      </c>
      <c r="D23" s="20">
        <v>0.7</v>
      </c>
    </row>
    <row r="24" spans="1:9" ht="15" x14ac:dyDescent="0.25">
      <c r="A24" s="8">
        <v>884</v>
      </c>
      <c r="B24" s="3" t="s">
        <v>17</v>
      </c>
      <c r="C24" s="21">
        <v>40</v>
      </c>
      <c r="D24" s="20">
        <v>2.5</v>
      </c>
    </row>
    <row r="25" spans="1:9" ht="15.6" thickBot="1" x14ac:dyDescent="0.3">
      <c r="A25" s="9">
        <v>884</v>
      </c>
      <c r="B25" s="10" t="s">
        <v>7</v>
      </c>
      <c r="C25" s="11">
        <f>SUM(C22:C24)</f>
        <v>51</v>
      </c>
      <c r="D25" s="12">
        <f>F22/C25</f>
        <v>2.111764705882353</v>
      </c>
    </row>
    <row r="26" spans="1:9" ht="15" x14ac:dyDescent="0.25">
      <c r="A26" s="29" t="s">
        <v>97</v>
      </c>
      <c r="B26" s="27" t="s">
        <v>64</v>
      </c>
      <c r="C26" s="28">
        <v>14</v>
      </c>
      <c r="D26" s="32">
        <v>6.6</v>
      </c>
      <c r="F26" s="2">
        <f>(C26*D26)+(C27*D27)</f>
        <v>92.399999999999991</v>
      </c>
    </row>
    <row r="27" spans="1:9" ht="15" x14ac:dyDescent="0.25">
      <c r="A27" s="29" t="s">
        <v>97</v>
      </c>
      <c r="B27" s="27" t="s">
        <v>91</v>
      </c>
      <c r="C27" s="28">
        <v>0</v>
      </c>
      <c r="D27" s="32">
        <v>0</v>
      </c>
    </row>
    <row r="28" spans="1:9" ht="15.6" thickBot="1" x14ac:dyDescent="0.3">
      <c r="A28" s="30" t="s">
        <v>97</v>
      </c>
      <c r="B28" s="25"/>
      <c r="C28" s="26">
        <f>SUM(C26:C27)</f>
        <v>14</v>
      </c>
      <c r="D28" s="12">
        <f>F26/C28</f>
        <v>6.6</v>
      </c>
    </row>
    <row r="29" spans="1:9" ht="15" x14ac:dyDescent="0.25">
      <c r="A29" s="5">
        <v>886</v>
      </c>
      <c r="B29" s="6" t="s">
        <v>18</v>
      </c>
      <c r="C29" s="18">
        <v>26</v>
      </c>
      <c r="D29" s="19">
        <v>0.5</v>
      </c>
      <c r="F29" s="2">
        <f>(C29*D29)+(C31*D31)+(C30*D30)</f>
        <v>20</v>
      </c>
    </row>
    <row r="30" spans="1:9" ht="15" x14ac:dyDescent="0.25">
      <c r="A30" s="8">
        <v>886</v>
      </c>
      <c r="B30" s="3" t="s">
        <v>90</v>
      </c>
      <c r="C30" s="4">
        <v>5</v>
      </c>
      <c r="D30" s="33">
        <v>1.4</v>
      </c>
      <c r="I30" s="2">
        <v>10.199999999999999</v>
      </c>
    </row>
    <row r="31" spans="1:9" ht="15" x14ac:dyDescent="0.25">
      <c r="A31" s="8">
        <v>886</v>
      </c>
      <c r="B31" s="3" t="s">
        <v>19</v>
      </c>
      <c r="C31" s="4">
        <v>0</v>
      </c>
      <c r="D31" s="15">
        <v>0</v>
      </c>
      <c r="I31" s="2">
        <v>0.3</v>
      </c>
    </row>
    <row r="32" spans="1:9" ht="15.6" thickBot="1" x14ac:dyDescent="0.3">
      <c r="A32" s="9">
        <v>886</v>
      </c>
      <c r="B32" s="10" t="s">
        <v>7</v>
      </c>
      <c r="C32" s="11">
        <f>SUM(C29:C31)</f>
        <v>31</v>
      </c>
      <c r="D32" s="12">
        <f>F29/C32</f>
        <v>0.64516129032258063</v>
      </c>
      <c r="I32" s="2">
        <v>9.6</v>
      </c>
    </row>
    <row r="33" spans="1:9" ht="15" x14ac:dyDescent="0.25">
      <c r="A33" s="5">
        <v>887</v>
      </c>
      <c r="B33" s="6" t="s">
        <v>20</v>
      </c>
      <c r="C33" s="7">
        <v>3</v>
      </c>
      <c r="D33" s="14">
        <v>91</v>
      </c>
      <c r="F33" s="2">
        <f>(C33*D33)+(C34*D34)</f>
        <v>302.7</v>
      </c>
      <c r="I33" s="2">
        <v>4.2</v>
      </c>
    </row>
    <row r="34" spans="1:9" ht="15" x14ac:dyDescent="0.25">
      <c r="A34" s="8">
        <v>887</v>
      </c>
      <c r="B34" s="3" t="s">
        <v>21</v>
      </c>
      <c r="C34" s="21">
        <v>33</v>
      </c>
      <c r="D34" s="20">
        <v>0.9</v>
      </c>
      <c r="I34" s="24">
        <v>4.4000000000000004</v>
      </c>
    </row>
    <row r="35" spans="1:9" ht="15.6" thickBot="1" x14ac:dyDescent="0.3">
      <c r="A35" s="9">
        <v>887</v>
      </c>
      <c r="B35" s="10" t="s">
        <v>7</v>
      </c>
      <c r="C35" s="11">
        <f>SUM(C33:C34)</f>
        <v>36</v>
      </c>
      <c r="D35" s="12">
        <f>F33/C35</f>
        <v>8.4083333333333332</v>
      </c>
      <c r="I35" s="24">
        <v>3.9</v>
      </c>
    </row>
    <row r="36" spans="1:9" ht="15" x14ac:dyDescent="0.25">
      <c r="A36" s="5">
        <v>888</v>
      </c>
      <c r="B36" s="6" t="s">
        <v>22</v>
      </c>
      <c r="C36" s="18">
        <v>6</v>
      </c>
      <c r="D36" s="19">
        <v>16.3</v>
      </c>
      <c r="F36" s="2">
        <f>(C36*D36)+(C37*D37)+(C38*D38)+(C39*D39)</f>
        <v>376.1</v>
      </c>
      <c r="I36" s="24">
        <v>2.1</v>
      </c>
    </row>
    <row r="37" spans="1:9" ht="15" x14ac:dyDescent="0.25">
      <c r="A37" s="8">
        <v>888</v>
      </c>
      <c r="B37" s="3" t="s">
        <v>23</v>
      </c>
      <c r="C37" s="4">
        <v>5</v>
      </c>
      <c r="D37" s="15">
        <v>8.8000000000000007</v>
      </c>
      <c r="I37" s="24">
        <v>6.6</v>
      </c>
    </row>
    <row r="38" spans="1:9" ht="15" x14ac:dyDescent="0.25">
      <c r="A38" s="8">
        <v>888</v>
      </c>
      <c r="B38" s="3" t="s">
        <v>24</v>
      </c>
      <c r="C38" s="21">
        <v>33</v>
      </c>
      <c r="D38" s="20">
        <v>7.1</v>
      </c>
      <c r="I38" s="24">
        <v>0.6</v>
      </c>
    </row>
    <row r="39" spans="1:9" ht="15" x14ac:dyDescent="0.25">
      <c r="A39" s="8">
        <v>888</v>
      </c>
      <c r="B39" s="3" t="s">
        <v>48</v>
      </c>
      <c r="C39" s="21">
        <v>0</v>
      </c>
      <c r="D39" s="20">
        <v>0</v>
      </c>
      <c r="I39" s="24">
        <v>8.4</v>
      </c>
    </row>
    <row r="40" spans="1:9" ht="15.6" thickBot="1" x14ac:dyDescent="0.3">
      <c r="A40" s="9">
        <v>888</v>
      </c>
      <c r="B40" s="10" t="s">
        <v>7</v>
      </c>
      <c r="C40" s="11">
        <f>SUM(C36:C39)</f>
        <v>44</v>
      </c>
      <c r="D40" s="12">
        <f>F36/C40</f>
        <v>8.5477272727272737</v>
      </c>
      <c r="I40" s="24">
        <v>8.5</v>
      </c>
    </row>
    <row r="41" spans="1:9" ht="15" x14ac:dyDescent="0.25">
      <c r="A41" s="5">
        <v>889</v>
      </c>
      <c r="B41" s="6" t="s">
        <v>25</v>
      </c>
      <c r="C41" s="18">
        <v>33</v>
      </c>
      <c r="D41" s="19">
        <v>10.199999999999999</v>
      </c>
      <c r="F41" s="2">
        <f>(C41*D41)+(C42*D42)+(C43*D43)+(C44*D44)+(C45*D45)</f>
        <v>504</v>
      </c>
      <c r="I41" s="24">
        <v>9</v>
      </c>
    </row>
    <row r="42" spans="1:9" ht="15" x14ac:dyDescent="0.25">
      <c r="A42" s="8">
        <v>889</v>
      </c>
      <c r="B42" s="3" t="s">
        <v>26</v>
      </c>
      <c r="C42" s="21">
        <v>15</v>
      </c>
      <c r="D42" s="20">
        <v>5.7</v>
      </c>
      <c r="I42" s="24">
        <v>4.5</v>
      </c>
    </row>
    <row r="43" spans="1:9" ht="15" x14ac:dyDescent="0.25">
      <c r="A43" s="8">
        <v>889</v>
      </c>
      <c r="B43" s="3" t="s">
        <v>27</v>
      </c>
      <c r="C43" s="21">
        <v>0</v>
      </c>
      <c r="D43" s="20">
        <v>0</v>
      </c>
      <c r="I43" s="24">
        <v>9.1999999999999993</v>
      </c>
    </row>
    <row r="44" spans="1:9" ht="15" x14ac:dyDescent="0.25">
      <c r="A44" s="8">
        <v>889</v>
      </c>
      <c r="B44" s="3" t="s">
        <v>28</v>
      </c>
      <c r="C44" s="21">
        <v>3</v>
      </c>
      <c r="D44" s="20">
        <v>20.3</v>
      </c>
      <c r="I44" s="24">
        <v>5.9</v>
      </c>
    </row>
    <row r="45" spans="1:9" ht="15" x14ac:dyDescent="0.25">
      <c r="A45" s="8">
        <v>889</v>
      </c>
      <c r="B45" s="3" t="s">
        <v>87</v>
      </c>
      <c r="C45" s="4">
        <v>5</v>
      </c>
      <c r="D45" s="33">
        <v>4.2</v>
      </c>
      <c r="I45" s="24">
        <v>9.1</v>
      </c>
    </row>
    <row r="46" spans="1:9" ht="15.6" thickBot="1" x14ac:dyDescent="0.3">
      <c r="A46" s="9">
        <v>889</v>
      </c>
      <c r="B46" s="10" t="s">
        <v>7</v>
      </c>
      <c r="C46" s="11">
        <f>SUM(C41:C45)</f>
        <v>56</v>
      </c>
      <c r="D46" s="12">
        <f>F41/C46</f>
        <v>9</v>
      </c>
      <c r="I46" s="24">
        <v>0.1</v>
      </c>
    </row>
    <row r="47" spans="1:9" ht="15" x14ac:dyDescent="0.25">
      <c r="A47" s="5">
        <v>890</v>
      </c>
      <c r="B47" s="6" t="s">
        <v>29</v>
      </c>
      <c r="C47" s="18">
        <v>39</v>
      </c>
      <c r="D47" s="19">
        <v>4.5</v>
      </c>
      <c r="F47" s="2">
        <f>(C47*D47)+(C48*D48)</f>
        <v>175.5</v>
      </c>
      <c r="I47" s="24">
        <v>24.4</v>
      </c>
    </row>
    <row r="48" spans="1:9" ht="15" x14ac:dyDescent="0.25">
      <c r="A48" s="8">
        <v>890</v>
      </c>
      <c r="B48" s="3" t="s">
        <v>30</v>
      </c>
      <c r="C48" s="21">
        <v>0</v>
      </c>
      <c r="D48" s="20">
        <v>0</v>
      </c>
      <c r="I48" s="24">
        <v>3</v>
      </c>
    </row>
    <row r="49" spans="1:9" ht="15.6" thickBot="1" x14ac:dyDescent="0.3">
      <c r="A49" s="9">
        <v>890</v>
      </c>
      <c r="B49" s="10" t="s">
        <v>7</v>
      </c>
      <c r="C49" s="11">
        <f>SUM(C47:C48)</f>
        <v>39</v>
      </c>
      <c r="D49" s="12">
        <f>F47/C49</f>
        <v>4.5</v>
      </c>
      <c r="I49" s="24">
        <v>1</v>
      </c>
    </row>
    <row r="50" spans="1:9" ht="15" x14ac:dyDescent="0.25">
      <c r="A50" s="5">
        <v>891</v>
      </c>
      <c r="B50" s="6" t="s">
        <v>31</v>
      </c>
      <c r="C50" s="7">
        <v>1</v>
      </c>
      <c r="D50" s="14">
        <v>27</v>
      </c>
      <c r="F50" s="2">
        <f>(C50*D50)+(C51*D51)+(C52*D52)</f>
        <v>247.99999999999997</v>
      </c>
      <c r="I50" s="44">
        <v>0.8</v>
      </c>
    </row>
    <row r="51" spans="1:9" ht="15" x14ac:dyDescent="0.25">
      <c r="A51" s="8">
        <v>891</v>
      </c>
      <c r="B51" s="3" t="s">
        <v>32</v>
      </c>
      <c r="C51" s="21">
        <v>14</v>
      </c>
      <c r="D51" s="20">
        <v>9.6999999999999993</v>
      </c>
      <c r="I51" s="16">
        <v>5.0999999999999996</v>
      </c>
    </row>
    <row r="52" spans="1:9" ht="15" x14ac:dyDescent="0.25">
      <c r="A52" s="8">
        <v>891</v>
      </c>
      <c r="B52" s="3" t="s">
        <v>33</v>
      </c>
      <c r="C52" s="21">
        <v>12</v>
      </c>
      <c r="D52" s="20">
        <v>7.1</v>
      </c>
      <c r="I52" s="43"/>
    </row>
    <row r="53" spans="1:9" ht="15.6" thickBot="1" x14ac:dyDescent="0.3">
      <c r="A53" s="9">
        <v>891</v>
      </c>
      <c r="B53" s="10" t="s">
        <v>7</v>
      </c>
      <c r="C53" s="11">
        <f>SUM(C50:C52)</f>
        <v>27</v>
      </c>
      <c r="D53" s="12">
        <f>F50/C53</f>
        <v>9.1851851851851833</v>
      </c>
    </row>
    <row r="54" spans="1:9" ht="15" x14ac:dyDescent="0.25">
      <c r="A54" s="5">
        <v>892</v>
      </c>
      <c r="B54" s="6" t="s">
        <v>34</v>
      </c>
      <c r="C54" s="18">
        <v>30</v>
      </c>
      <c r="D54" s="19">
        <v>5.9</v>
      </c>
      <c r="F54" s="2">
        <f>(C54*D54)+(C55*D55)</f>
        <v>177</v>
      </c>
    </row>
    <row r="55" spans="1:9" ht="15" x14ac:dyDescent="0.25">
      <c r="A55" s="8">
        <v>892</v>
      </c>
      <c r="B55" s="3" t="s">
        <v>49</v>
      </c>
      <c r="C55" s="21">
        <v>0</v>
      </c>
      <c r="D55" s="20">
        <v>0</v>
      </c>
    </row>
    <row r="56" spans="1:9" ht="15.6" thickBot="1" x14ac:dyDescent="0.3">
      <c r="A56" s="9">
        <v>892</v>
      </c>
      <c r="B56" s="10" t="s">
        <v>7</v>
      </c>
      <c r="C56" s="11">
        <f>SUM(C54:C55)</f>
        <v>30</v>
      </c>
      <c r="D56" s="12">
        <f>F54/C56</f>
        <v>5.9</v>
      </c>
    </row>
    <row r="57" spans="1:9" ht="15" x14ac:dyDescent="0.25">
      <c r="A57" s="5">
        <v>893</v>
      </c>
      <c r="B57" s="6" t="s">
        <v>35</v>
      </c>
      <c r="C57" s="18">
        <v>28</v>
      </c>
      <c r="D57" s="19">
        <v>8.1</v>
      </c>
      <c r="F57" s="2">
        <f>(C57*D57)+(C59*D59)</f>
        <v>400.79999999999995</v>
      </c>
    </row>
    <row r="58" spans="1:9" ht="15" x14ac:dyDescent="0.25">
      <c r="A58" s="8">
        <v>893</v>
      </c>
      <c r="B58" s="3" t="s">
        <v>50</v>
      </c>
      <c r="C58" s="21">
        <v>4</v>
      </c>
      <c r="D58" s="20">
        <v>5</v>
      </c>
    </row>
    <row r="59" spans="1:9" ht="15" x14ac:dyDescent="0.25">
      <c r="A59" s="8">
        <v>893</v>
      </c>
      <c r="B59" s="3" t="s">
        <v>36</v>
      </c>
      <c r="C59" s="21">
        <v>12</v>
      </c>
      <c r="D59" s="20">
        <v>14.5</v>
      </c>
    </row>
    <row r="60" spans="1:9" ht="15.6" thickBot="1" x14ac:dyDescent="0.3">
      <c r="A60" s="9">
        <v>893</v>
      </c>
      <c r="B60" s="10" t="s">
        <v>7</v>
      </c>
      <c r="C60" s="11">
        <f>SUM(C57:C59)</f>
        <v>44</v>
      </c>
      <c r="D60" s="12">
        <f>F57/C60</f>
        <v>9.1090909090909076</v>
      </c>
    </row>
    <row r="61" spans="1:9" ht="15" x14ac:dyDescent="0.25">
      <c r="A61" s="5">
        <v>894</v>
      </c>
      <c r="B61" s="6" t="s">
        <v>37</v>
      </c>
      <c r="C61" s="18">
        <v>28</v>
      </c>
      <c r="D61" s="19">
        <v>0.1</v>
      </c>
      <c r="F61" s="2">
        <f>(C61*D61)+(C62*D62)</f>
        <v>2.8000000000000003</v>
      </c>
    </row>
    <row r="62" spans="1:9" ht="15" x14ac:dyDescent="0.25">
      <c r="A62" s="8">
        <v>894</v>
      </c>
      <c r="B62" s="3" t="s">
        <v>38</v>
      </c>
      <c r="C62" s="4">
        <v>0</v>
      </c>
      <c r="D62" s="15">
        <v>0</v>
      </c>
    </row>
    <row r="63" spans="1:9" ht="15.6" thickBot="1" x14ac:dyDescent="0.3">
      <c r="A63" s="9">
        <v>894</v>
      </c>
      <c r="B63" s="10" t="s">
        <v>7</v>
      </c>
      <c r="C63" s="11">
        <f>SUM(C61:C62)</f>
        <v>28</v>
      </c>
      <c r="D63" s="12">
        <f>F61/C63</f>
        <v>0.1</v>
      </c>
    </row>
    <row r="64" spans="1:9" ht="15" x14ac:dyDescent="0.25">
      <c r="A64" s="5">
        <v>895</v>
      </c>
      <c r="B64" s="6" t="s">
        <v>39</v>
      </c>
      <c r="C64" s="7">
        <v>0</v>
      </c>
      <c r="D64" s="14">
        <v>0</v>
      </c>
      <c r="F64" s="2">
        <f>(C64*D64)+(C65*D65)</f>
        <v>707.59999999999991</v>
      </c>
    </row>
    <row r="65" spans="1:6" ht="15" x14ac:dyDescent="0.25">
      <c r="A65" s="8">
        <v>895</v>
      </c>
      <c r="B65" s="3" t="s">
        <v>40</v>
      </c>
      <c r="C65" s="21">
        <v>29</v>
      </c>
      <c r="D65" s="20">
        <v>24.4</v>
      </c>
    </row>
    <row r="66" spans="1:6" ht="15.6" thickBot="1" x14ac:dyDescent="0.3">
      <c r="A66" s="9">
        <v>895</v>
      </c>
      <c r="B66" s="10" t="s">
        <v>7</v>
      </c>
      <c r="C66" s="11">
        <f>SUM(C64:C65)</f>
        <v>29</v>
      </c>
      <c r="D66" s="12">
        <f>F64/C66</f>
        <v>24.4</v>
      </c>
    </row>
    <row r="67" spans="1:6" ht="15" x14ac:dyDescent="0.25">
      <c r="A67" s="5">
        <v>896</v>
      </c>
      <c r="B67" s="6" t="s">
        <v>41</v>
      </c>
      <c r="C67" s="18">
        <v>20</v>
      </c>
      <c r="D67" s="19">
        <v>3</v>
      </c>
    </row>
    <row r="68" spans="1:6" ht="15.6" thickBot="1" x14ac:dyDescent="0.3">
      <c r="A68" s="9">
        <v>896</v>
      </c>
      <c r="B68" s="10" t="s">
        <v>7</v>
      </c>
      <c r="C68" s="10">
        <v>20</v>
      </c>
      <c r="D68" s="12">
        <v>3</v>
      </c>
    </row>
    <row r="69" spans="1:6" ht="15" x14ac:dyDescent="0.25">
      <c r="A69" s="5">
        <v>897</v>
      </c>
      <c r="B69" s="6" t="s">
        <v>42</v>
      </c>
      <c r="C69" s="7">
        <v>1</v>
      </c>
      <c r="D69" s="14">
        <v>0</v>
      </c>
      <c r="F69" s="2">
        <f>(C69*D69)+(C70*D70)</f>
        <v>43</v>
      </c>
    </row>
    <row r="70" spans="1:6" ht="15" x14ac:dyDescent="0.25">
      <c r="A70" s="8">
        <v>897</v>
      </c>
      <c r="B70" s="3" t="s">
        <v>43</v>
      </c>
      <c r="C70" s="21">
        <v>43</v>
      </c>
      <c r="D70" s="20">
        <v>1</v>
      </c>
    </row>
    <row r="71" spans="1:6" ht="15.6" thickBot="1" x14ac:dyDescent="0.3">
      <c r="A71" s="9">
        <v>897</v>
      </c>
      <c r="B71" s="10" t="s">
        <v>7</v>
      </c>
      <c r="C71" s="11">
        <f>SUM(C69:C70)</f>
        <v>44</v>
      </c>
      <c r="D71" s="12">
        <f>F69/C71</f>
        <v>0.97727272727272729</v>
      </c>
    </row>
    <row r="72" spans="1:6" ht="15" x14ac:dyDescent="0.25">
      <c r="A72" s="5">
        <v>898</v>
      </c>
      <c r="B72" s="6" t="s">
        <v>44</v>
      </c>
      <c r="C72" s="18">
        <v>0</v>
      </c>
      <c r="D72" s="19">
        <v>0</v>
      </c>
      <c r="F72" s="2">
        <f>(C72*D72)+(C73*D73)</f>
        <v>5.6000000000000005</v>
      </c>
    </row>
    <row r="73" spans="1:6" ht="15" x14ac:dyDescent="0.25">
      <c r="A73" s="8">
        <v>898</v>
      </c>
      <c r="B73" s="3" t="s">
        <v>45</v>
      </c>
      <c r="C73" s="21">
        <v>7</v>
      </c>
      <c r="D73" s="20">
        <v>0.8</v>
      </c>
    </row>
    <row r="74" spans="1:6" ht="15.6" thickBot="1" x14ac:dyDescent="0.3">
      <c r="A74" s="9">
        <v>898</v>
      </c>
      <c r="B74" s="10" t="s">
        <v>7</v>
      </c>
      <c r="C74" s="11">
        <f>SUM(C72:C73)</f>
        <v>7</v>
      </c>
      <c r="D74" s="12">
        <f>F72/C74</f>
        <v>0.8</v>
      </c>
    </row>
    <row r="75" spans="1:6" ht="15" x14ac:dyDescent="0.25">
      <c r="A75" s="5">
        <v>899</v>
      </c>
      <c r="B75" s="6" t="s">
        <v>46</v>
      </c>
      <c r="C75" s="18">
        <v>24</v>
      </c>
      <c r="D75" s="19">
        <v>5.0999999999999996</v>
      </c>
      <c r="F75" s="2">
        <f>(C75*D75)+(C76*D76)</f>
        <v>122.39999999999999</v>
      </c>
    </row>
    <row r="76" spans="1:6" ht="15" x14ac:dyDescent="0.25">
      <c r="A76" s="8">
        <v>899</v>
      </c>
      <c r="B76" s="3" t="s">
        <v>47</v>
      </c>
      <c r="C76" s="4">
        <v>0</v>
      </c>
      <c r="D76" s="15">
        <v>0</v>
      </c>
    </row>
    <row r="77" spans="1:6" ht="15.6" thickBot="1" x14ac:dyDescent="0.3">
      <c r="A77" s="9">
        <v>899</v>
      </c>
      <c r="B77" s="10" t="s">
        <v>7</v>
      </c>
      <c r="C77" s="11">
        <f>SUM(C75:C76)</f>
        <v>24</v>
      </c>
      <c r="D77" s="12">
        <f>F75/C77</f>
        <v>5.0999999999999996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7009D-DCA8-4C0E-9BCB-0FD4C45AA7EB}">
  <dimension ref="A2:I79"/>
  <sheetViews>
    <sheetView topLeftCell="A40" workbookViewId="0">
      <selection activeCell="F62" sqref="F62"/>
    </sheetView>
  </sheetViews>
  <sheetFormatPr defaultColWidth="9.109375" defaultRowHeight="13.2" x14ac:dyDescent="0.25"/>
  <cols>
    <col min="1" max="2" width="12.6640625" style="2" customWidth="1"/>
    <col min="3" max="3" width="8.5546875" style="2" customWidth="1"/>
    <col min="4" max="4" width="19.109375" style="16" customWidth="1"/>
    <col min="5" max="7" width="10.44140625" style="2" customWidth="1"/>
    <col min="8" max="16384" width="9.109375" style="2"/>
  </cols>
  <sheetData>
    <row r="2" spans="1:6" ht="16.2" thickBot="1" x14ac:dyDescent="0.3">
      <c r="A2" s="1" t="s">
        <v>0</v>
      </c>
      <c r="B2" s="1" t="s">
        <v>1</v>
      </c>
      <c r="C2" s="1" t="s">
        <v>2</v>
      </c>
      <c r="D2" s="13" t="s">
        <v>3</v>
      </c>
    </row>
    <row r="3" spans="1:6" ht="15" x14ac:dyDescent="0.25">
      <c r="A3" s="47">
        <v>877</v>
      </c>
      <c r="B3" s="36" t="s">
        <v>98</v>
      </c>
      <c r="C3" s="36">
        <v>15</v>
      </c>
      <c r="D3" s="40">
        <v>4.4000000000000004</v>
      </c>
    </row>
    <row r="4" spans="1:6" ht="16.2" thickBot="1" x14ac:dyDescent="0.3">
      <c r="A4" s="9">
        <v>877</v>
      </c>
      <c r="B4" s="42"/>
      <c r="C4" s="10">
        <v>18</v>
      </c>
      <c r="D4" s="12">
        <v>5.2</v>
      </c>
    </row>
    <row r="5" spans="1:6" ht="15" x14ac:dyDescent="0.25">
      <c r="A5" s="39" t="s">
        <v>95</v>
      </c>
      <c r="B5" s="36" t="s">
        <v>88</v>
      </c>
      <c r="C5" s="36">
        <v>20</v>
      </c>
      <c r="D5" s="40">
        <v>0</v>
      </c>
      <c r="F5" s="2">
        <f>(C5*D5)+(C6*D6)</f>
        <v>0</v>
      </c>
    </row>
    <row r="6" spans="1:6" ht="15" x14ac:dyDescent="0.25">
      <c r="A6" s="50" t="s">
        <v>95</v>
      </c>
      <c r="B6" s="27" t="s">
        <v>99</v>
      </c>
      <c r="C6" s="27">
        <v>1</v>
      </c>
      <c r="D6" s="49">
        <v>0</v>
      </c>
      <c r="F6" s="16"/>
    </row>
    <row r="7" spans="1:6" ht="16.2" thickBot="1" x14ac:dyDescent="0.3">
      <c r="A7" s="41"/>
      <c r="B7" s="42"/>
      <c r="C7" s="11">
        <f>SUM(C5:C6)</f>
        <v>21</v>
      </c>
      <c r="D7" s="12">
        <f>F5/C7</f>
        <v>0</v>
      </c>
      <c r="F7" s="16"/>
    </row>
    <row r="8" spans="1:6" ht="15" x14ac:dyDescent="0.25">
      <c r="A8" s="17" t="s">
        <v>96</v>
      </c>
      <c r="B8" s="6" t="s">
        <v>4</v>
      </c>
      <c r="C8" s="18">
        <v>30</v>
      </c>
      <c r="D8" s="19">
        <v>9.5</v>
      </c>
      <c r="F8" s="2">
        <f>(C8*D8)+(C9*D9)+(C10*D10)</f>
        <v>435.29999999999995</v>
      </c>
    </row>
    <row r="9" spans="1:6" ht="15" x14ac:dyDescent="0.25">
      <c r="A9" s="8">
        <v>879</v>
      </c>
      <c r="B9" s="3" t="s">
        <v>5</v>
      </c>
      <c r="C9" s="21">
        <v>7</v>
      </c>
      <c r="D9" s="20">
        <v>14.1</v>
      </c>
    </row>
    <row r="10" spans="1:6" ht="15" x14ac:dyDescent="0.25">
      <c r="A10" s="8">
        <v>879</v>
      </c>
      <c r="B10" s="3" t="s">
        <v>6</v>
      </c>
      <c r="C10" s="21">
        <v>6</v>
      </c>
      <c r="D10" s="20">
        <v>8.6</v>
      </c>
    </row>
    <row r="11" spans="1:6" ht="15.6" thickBot="1" x14ac:dyDescent="0.3">
      <c r="A11" s="9">
        <v>879</v>
      </c>
      <c r="B11" s="10" t="s">
        <v>7</v>
      </c>
      <c r="C11" s="11">
        <f>SUM(C8:C10)</f>
        <v>43</v>
      </c>
      <c r="D11" s="12">
        <f>F8/C11</f>
        <v>10.123255813953488</v>
      </c>
    </row>
    <row r="12" spans="1:6" ht="15" x14ac:dyDescent="0.25">
      <c r="A12" s="5">
        <v>880</v>
      </c>
      <c r="B12" s="6" t="s">
        <v>8</v>
      </c>
      <c r="C12" s="18">
        <v>0</v>
      </c>
      <c r="D12" s="19">
        <v>0</v>
      </c>
      <c r="F12" s="2">
        <f>(C12*D12)+(C14*D14)+(C13*D13)</f>
        <v>148.4</v>
      </c>
    </row>
    <row r="13" spans="1:6" ht="15" x14ac:dyDescent="0.25">
      <c r="A13" s="8">
        <v>880</v>
      </c>
      <c r="B13" s="3" t="s">
        <v>92</v>
      </c>
      <c r="C13" s="34">
        <v>28</v>
      </c>
      <c r="D13" s="35">
        <v>5.3</v>
      </c>
    </row>
    <row r="14" spans="1:6" ht="15" x14ac:dyDescent="0.25">
      <c r="A14" s="8">
        <v>880</v>
      </c>
      <c r="B14" s="3" t="s">
        <v>9</v>
      </c>
      <c r="C14" s="21">
        <v>0</v>
      </c>
      <c r="D14" s="20">
        <v>0</v>
      </c>
    </row>
    <row r="15" spans="1:6" ht="15.6" thickBot="1" x14ac:dyDescent="0.3">
      <c r="A15" s="9">
        <v>880</v>
      </c>
      <c r="B15" s="10" t="s">
        <v>7</v>
      </c>
      <c r="C15" s="11">
        <f>SUM(C12:C14)</f>
        <v>28</v>
      </c>
      <c r="D15" s="12">
        <f>F12/C15</f>
        <v>5.3</v>
      </c>
    </row>
    <row r="16" spans="1:6" ht="15" x14ac:dyDescent="0.25">
      <c r="A16" s="5">
        <v>881</v>
      </c>
      <c r="B16" s="6" t="s">
        <v>10</v>
      </c>
      <c r="C16" s="18">
        <v>0</v>
      </c>
      <c r="D16" s="19">
        <v>0</v>
      </c>
      <c r="F16" s="2">
        <f>(C16*D16)+(C17*D17)+(C18*D18)</f>
        <v>85</v>
      </c>
    </row>
    <row r="17" spans="1:9" ht="15" x14ac:dyDescent="0.25">
      <c r="A17" s="8">
        <v>881</v>
      </c>
      <c r="B17" s="3" t="s">
        <v>12</v>
      </c>
      <c r="C17" s="21">
        <v>22</v>
      </c>
      <c r="D17" s="20">
        <v>3.5</v>
      </c>
    </row>
    <row r="18" spans="1:9" ht="15" x14ac:dyDescent="0.25">
      <c r="A18" s="8">
        <v>881</v>
      </c>
      <c r="B18" s="3" t="s">
        <v>11</v>
      </c>
      <c r="C18" s="21">
        <v>2</v>
      </c>
      <c r="D18" s="20">
        <v>4</v>
      </c>
    </row>
    <row r="19" spans="1:9" ht="15.6" thickBot="1" x14ac:dyDescent="0.3">
      <c r="A19" s="9">
        <v>881</v>
      </c>
      <c r="B19" s="10" t="s">
        <v>7</v>
      </c>
      <c r="C19" s="11">
        <f>SUM(C16:C18)</f>
        <v>24</v>
      </c>
      <c r="D19" s="12">
        <f>F16/C19</f>
        <v>3.5416666666666665</v>
      </c>
    </row>
    <row r="20" spans="1:9" ht="15" x14ac:dyDescent="0.25">
      <c r="A20" s="5">
        <v>882</v>
      </c>
      <c r="B20" s="6" t="s">
        <v>13</v>
      </c>
      <c r="C20" s="18">
        <v>39</v>
      </c>
      <c r="D20" s="19">
        <v>6.5</v>
      </c>
      <c r="F20" s="2">
        <f>(C20*D20)+(C21*D21)</f>
        <v>258.5</v>
      </c>
    </row>
    <row r="21" spans="1:9" ht="15" x14ac:dyDescent="0.25">
      <c r="A21" s="8">
        <v>882</v>
      </c>
      <c r="B21" s="3" t="s">
        <v>14</v>
      </c>
      <c r="C21" s="21">
        <v>1</v>
      </c>
      <c r="D21" s="20">
        <v>5</v>
      </c>
    </row>
    <row r="22" spans="1:9" ht="15.6" thickBot="1" x14ac:dyDescent="0.3">
      <c r="A22" s="9">
        <v>882</v>
      </c>
      <c r="B22" s="10" t="s">
        <v>7</v>
      </c>
      <c r="C22" s="11">
        <f>SUM(C20:C21)</f>
        <v>40</v>
      </c>
      <c r="D22" s="12">
        <f>F20/C22</f>
        <v>6.4625000000000004</v>
      </c>
    </row>
    <row r="23" spans="1:9" ht="15" x14ac:dyDescent="0.25">
      <c r="A23" s="5">
        <v>884</v>
      </c>
      <c r="B23" s="6" t="s">
        <v>15</v>
      </c>
      <c r="C23" s="18">
        <v>3</v>
      </c>
      <c r="D23" s="19">
        <v>28</v>
      </c>
      <c r="F23" s="2">
        <f>(C23*D23)+(C24*D24)+(C25*D25)</f>
        <v>262.89999999999998</v>
      </c>
    </row>
    <row r="24" spans="1:9" ht="15" x14ac:dyDescent="0.25">
      <c r="A24" s="8">
        <v>884</v>
      </c>
      <c r="B24" s="3" t="s">
        <v>16</v>
      </c>
      <c r="C24" s="21">
        <v>13</v>
      </c>
      <c r="D24" s="20">
        <v>1.7</v>
      </c>
    </row>
    <row r="25" spans="1:9" ht="15" x14ac:dyDescent="0.25">
      <c r="A25" s="8">
        <v>884</v>
      </c>
      <c r="B25" s="3" t="s">
        <v>17</v>
      </c>
      <c r="C25" s="21">
        <v>49</v>
      </c>
      <c r="D25" s="20">
        <v>3.2</v>
      </c>
    </row>
    <row r="26" spans="1:9" ht="15.6" thickBot="1" x14ac:dyDescent="0.3">
      <c r="A26" s="9">
        <v>884</v>
      </c>
      <c r="B26" s="10" t="s">
        <v>7</v>
      </c>
      <c r="C26" s="11">
        <f>SUM(C23:C25)</f>
        <v>65</v>
      </c>
      <c r="D26" s="12">
        <f>F23/C26</f>
        <v>4.0446153846153843</v>
      </c>
    </row>
    <row r="27" spans="1:9" ht="15" x14ac:dyDescent="0.25">
      <c r="A27" s="29" t="s">
        <v>97</v>
      </c>
      <c r="B27" s="27" t="s">
        <v>64</v>
      </c>
      <c r="C27" s="28">
        <v>17</v>
      </c>
      <c r="D27" s="32">
        <v>4.2</v>
      </c>
      <c r="F27" s="2">
        <f>(C27*D27)+(C28*D28)</f>
        <v>71.400000000000006</v>
      </c>
      <c r="I27" s="2">
        <v>4.4000000000000004</v>
      </c>
    </row>
    <row r="28" spans="1:9" ht="15" x14ac:dyDescent="0.25">
      <c r="A28" s="29" t="s">
        <v>97</v>
      </c>
      <c r="B28" s="27" t="s">
        <v>91</v>
      </c>
      <c r="C28" s="28">
        <v>2</v>
      </c>
      <c r="D28" s="32">
        <v>0</v>
      </c>
      <c r="I28" s="2">
        <v>0</v>
      </c>
    </row>
    <row r="29" spans="1:9" ht="15.6" thickBot="1" x14ac:dyDescent="0.3">
      <c r="A29" s="30" t="s">
        <v>97</v>
      </c>
      <c r="B29" s="25"/>
      <c r="C29" s="26">
        <f>SUM(C27:C28)</f>
        <v>19</v>
      </c>
      <c r="D29" s="12">
        <f>F27/C29</f>
        <v>3.7578947368421054</v>
      </c>
      <c r="I29" s="2">
        <v>10.1</v>
      </c>
    </row>
    <row r="30" spans="1:9" ht="15" x14ac:dyDescent="0.25">
      <c r="A30" s="5">
        <v>886</v>
      </c>
      <c r="B30" s="6" t="s">
        <v>18</v>
      </c>
      <c r="C30" s="18">
        <v>34</v>
      </c>
      <c r="D30" s="19">
        <v>3.7</v>
      </c>
      <c r="F30" s="2">
        <f>(C30*D30)+(C32*D32)+(C31*D31)</f>
        <v>125.80000000000001</v>
      </c>
      <c r="I30" s="2">
        <v>5.3</v>
      </c>
    </row>
    <row r="31" spans="1:9" ht="15" x14ac:dyDescent="0.25">
      <c r="A31" s="8">
        <v>886</v>
      </c>
      <c r="B31" s="3" t="s">
        <v>90</v>
      </c>
      <c r="C31" s="4">
        <v>0</v>
      </c>
      <c r="D31" s="33">
        <v>0</v>
      </c>
      <c r="I31" s="2">
        <v>3.5</v>
      </c>
    </row>
    <row r="32" spans="1:9" ht="15" x14ac:dyDescent="0.25">
      <c r="A32" s="8">
        <v>886</v>
      </c>
      <c r="B32" s="3" t="s">
        <v>19</v>
      </c>
      <c r="C32" s="4">
        <v>0</v>
      </c>
      <c r="D32" s="15">
        <v>0</v>
      </c>
      <c r="I32" s="24">
        <v>6.5</v>
      </c>
    </row>
    <row r="33" spans="1:9" ht="15.6" thickBot="1" x14ac:dyDescent="0.3">
      <c r="A33" s="9">
        <v>886</v>
      </c>
      <c r="B33" s="10" t="s">
        <v>7</v>
      </c>
      <c r="C33" s="11">
        <f>SUM(C30:C32)</f>
        <v>34</v>
      </c>
      <c r="D33" s="12">
        <f>F30/C33</f>
        <v>3.7</v>
      </c>
      <c r="I33" s="24">
        <v>4</v>
      </c>
    </row>
    <row r="34" spans="1:9" ht="15" x14ac:dyDescent="0.25">
      <c r="A34" s="5">
        <v>887</v>
      </c>
      <c r="B34" s="6" t="s">
        <v>20</v>
      </c>
      <c r="C34" s="7">
        <v>0</v>
      </c>
      <c r="D34" s="14">
        <v>0</v>
      </c>
      <c r="F34" s="2">
        <f>(C34*D34)+(C35*D35)</f>
        <v>50.4</v>
      </c>
      <c r="I34" s="24">
        <v>3.8</v>
      </c>
    </row>
    <row r="35" spans="1:9" ht="15" x14ac:dyDescent="0.25">
      <c r="A35" s="8">
        <v>887</v>
      </c>
      <c r="B35" s="3" t="s">
        <v>21</v>
      </c>
      <c r="C35" s="21">
        <v>28</v>
      </c>
      <c r="D35" s="20">
        <v>1.8</v>
      </c>
      <c r="I35" s="24">
        <v>3.7</v>
      </c>
    </row>
    <row r="36" spans="1:9" ht="15.6" thickBot="1" x14ac:dyDescent="0.3">
      <c r="A36" s="9">
        <v>887</v>
      </c>
      <c r="B36" s="10" t="s">
        <v>7</v>
      </c>
      <c r="C36" s="11">
        <f>SUM(C34:C35)</f>
        <v>28</v>
      </c>
      <c r="D36" s="12">
        <f>F34/C36</f>
        <v>1.8</v>
      </c>
      <c r="I36" s="24">
        <v>1.8</v>
      </c>
    </row>
    <row r="37" spans="1:9" ht="15" x14ac:dyDescent="0.25">
      <c r="A37" s="5">
        <v>888</v>
      </c>
      <c r="B37" s="6" t="s">
        <v>22</v>
      </c>
      <c r="C37" s="18">
        <v>2</v>
      </c>
      <c r="D37" s="19">
        <v>4.5</v>
      </c>
      <c r="F37" s="2">
        <f>(C37*D37)+(C38*D38)+(C39*D39)+(C40*D40)</f>
        <v>422.6</v>
      </c>
      <c r="I37" s="24">
        <v>16.899999999999999</v>
      </c>
    </row>
    <row r="38" spans="1:9" ht="15" x14ac:dyDescent="0.25">
      <c r="A38" s="8">
        <v>888</v>
      </c>
      <c r="B38" s="3" t="s">
        <v>23</v>
      </c>
      <c r="C38" s="4">
        <v>1</v>
      </c>
      <c r="D38" s="15">
        <v>0</v>
      </c>
      <c r="I38" s="24">
        <v>5.6</v>
      </c>
    </row>
    <row r="39" spans="1:9" ht="15" x14ac:dyDescent="0.25">
      <c r="A39" s="8">
        <v>888</v>
      </c>
      <c r="B39" s="3" t="s">
        <v>24</v>
      </c>
      <c r="C39" s="21">
        <v>22</v>
      </c>
      <c r="D39" s="20">
        <v>18.8</v>
      </c>
      <c r="I39" s="24">
        <v>4.3</v>
      </c>
    </row>
    <row r="40" spans="1:9" ht="15" x14ac:dyDescent="0.25">
      <c r="A40" s="8">
        <v>888</v>
      </c>
      <c r="B40" s="3" t="s">
        <v>48</v>
      </c>
      <c r="C40" s="21">
        <v>0</v>
      </c>
      <c r="D40" s="20">
        <v>0</v>
      </c>
      <c r="I40" s="24">
        <v>8.9</v>
      </c>
    </row>
    <row r="41" spans="1:9" ht="15.6" thickBot="1" x14ac:dyDescent="0.3">
      <c r="A41" s="9">
        <v>888</v>
      </c>
      <c r="B41" s="10" t="s">
        <v>7</v>
      </c>
      <c r="C41" s="11">
        <f>SUM(C37:C40)</f>
        <v>25</v>
      </c>
      <c r="D41" s="12">
        <f>F37/C41</f>
        <v>16.904</v>
      </c>
      <c r="I41" s="24">
        <v>3.1</v>
      </c>
    </row>
    <row r="42" spans="1:9" ht="15" x14ac:dyDescent="0.25">
      <c r="A42" s="5">
        <v>889</v>
      </c>
      <c r="B42" s="6" t="s">
        <v>25</v>
      </c>
      <c r="C42" s="18">
        <v>19</v>
      </c>
      <c r="D42" s="19">
        <v>8.3000000000000007</v>
      </c>
      <c r="F42" s="2">
        <f>(C42*D42)+(C43*D43)+(C44*D44)+(C45*D45)+(C46*D46)</f>
        <v>206.3</v>
      </c>
      <c r="I42" s="24">
        <v>5.7</v>
      </c>
    </row>
    <row r="43" spans="1:9" ht="15" x14ac:dyDescent="0.25">
      <c r="A43" s="8">
        <v>889</v>
      </c>
      <c r="B43" s="3" t="s">
        <v>26</v>
      </c>
      <c r="C43" s="21">
        <v>11</v>
      </c>
      <c r="D43" s="20">
        <v>2.6</v>
      </c>
      <c r="I43" s="24">
        <v>0.2</v>
      </c>
    </row>
    <row r="44" spans="1:9" ht="15" x14ac:dyDescent="0.25">
      <c r="A44" s="8">
        <v>889</v>
      </c>
      <c r="B44" s="3" t="s">
        <v>27</v>
      </c>
      <c r="C44" s="21">
        <v>0</v>
      </c>
      <c r="D44" s="20">
        <v>0</v>
      </c>
      <c r="I44" s="24">
        <v>25.8</v>
      </c>
    </row>
    <row r="45" spans="1:9" ht="15" x14ac:dyDescent="0.25">
      <c r="A45" s="8">
        <v>889</v>
      </c>
      <c r="B45" s="3" t="s">
        <v>28</v>
      </c>
      <c r="C45" s="21">
        <v>5</v>
      </c>
      <c r="D45" s="20">
        <v>3.2</v>
      </c>
      <c r="I45" s="24">
        <v>8.1</v>
      </c>
    </row>
    <row r="46" spans="1:9" ht="15" x14ac:dyDescent="0.25">
      <c r="A46" s="8">
        <v>889</v>
      </c>
      <c r="B46" s="3" t="s">
        <v>87</v>
      </c>
      <c r="C46" s="4">
        <v>2</v>
      </c>
      <c r="D46" s="33">
        <v>2</v>
      </c>
      <c r="I46" s="24">
        <v>3</v>
      </c>
    </row>
    <row r="47" spans="1:9" ht="15.6" thickBot="1" x14ac:dyDescent="0.3">
      <c r="A47" s="9">
        <v>889</v>
      </c>
      <c r="B47" s="10" t="s">
        <v>7</v>
      </c>
      <c r="C47" s="11">
        <f>SUM(C42:C46)</f>
        <v>37</v>
      </c>
      <c r="D47" s="12">
        <f>F42/C47</f>
        <v>5.5756756756756758</v>
      </c>
      <c r="I47" s="24">
        <v>0.7</v>
      </c>
    </row>
    <row r="48" spans="1:9" ht="15" x14ac:dyDescent="0.25">
      <c r="A48" s="5">
        <v>890</v>
      </c>
      <c r="B48" s="6" t="s">
        <v>29</v>
      </c>
      <c r="C48" s="18">
        <v>26</v>
      </c>
      <c r="D48" s="19">
        <v>4.3</v>
      </c>
      <c r="F48" s="2">
        <f>(C48*D48)+(C49*D49)</f>
        <v>111.8</v>
      </c>
      <c r="I48" s="44">
        <v>5.5</v>
      </c>
    </row>
    <row r="49" spans="1:9" ht="15" x14ac:dyDescent="0.25">
      <c r="A49" s="8">
        <v>890</v>
      </c>
      <c r="B49" s="3" t="s">
        <v>30</v>
      </c>
      <c r="C49" s="21">
        <v>0</v>
      </c>
      <c r="D49" s="20">
        <v>0</v>
      </c>
      <c r="I49" s="43">
        <f>SUM(I28:I48)/21</f>
        <v>6.0238095238095237</v>
      </c>
    </row>
    <row r="50" spans="1:9" ht="15.6" thickBot="1" x14ac:dyDescent="0.3">
      <c r="A50" s="9">
        <v>890</v>
      </c>
      <c r="B50" s="10" t="s">
        <v>7</v>
      </c>
      <c r="C50" s="11">
        <f>SUM(C48:C49)</f>
        <v>26</v>
      </c>
      <c r="D50" s="12">
        <f>F48/C50</f>
        <v>4.3</v>
      </c>
      <c r="I50" s="24"/>
    </row>
    <row r="51" spans="1:9" ht="15" x14ac:dyDescent="0.25">
      <c r="A51" s="5">
        <v>891</v>
      </c>
      <c r="B51" s="6" t="s">
        <v>31</v>
      </c>
      <c r="C51" s="7">
        <v>4</v>
      </c>
      <c r="D51" s="14">
        <v>4.5</v>
      </c>
      <c r="F51" s="2">
        <f>(C51*D51)+(C52*D52)+(C53*D53)</f>
        <v>285.20000000000005</v>
      </c>
      <c r="I51" s="24"/>
    </row>
    <row r="52" spans="1:9" ht="15" x14ac:dyDescent="0.25">
      <c r="A52" s="8">
        <v>891</v>
      </c>
      <c r="B52" s="3" t="s">
        <v>32</v>
      </c>
      <c r="C52" s="21">
        <v>12</v>
      </c>
      <c r="D52" s="20">
        <v>7.2</v>
      </c>
      <c r="I52" s="24"/>
    </row>
    <row r="53" spans="1:9" ht="15" x14ac:dyDescent="0.25">
      <c r="A53" s="8">
        <v>891</v>
      </c>
      <c r="B53" s="3" t="s">
        <v>33</v>
      </c>
      <c r="C53" s="21">
        <v>16</v>
      </c>
      <c r="D53" s="20">
        <v>11.3</v>
      </c>
      <c r="I53" s="24"/>
    </row>
    <row r="54" spans="1:9" ht="15.6" thickBot="1" x14ac:dyDescent="0.3">
      <c r="A54" s="9">
        <v>891</v>
      </c>
      <c r="B54" s="10" t="s">
        <v>7</v>
      </c>
      <c r="C54" s="11">
        <f>SUM(C51:C53)</f>
        <v>32</v>
      </c>
      <c r="D54" s="12">
        <f>F51/C54</f>
        <v>8.9125000000000014</v>
      </c>
      <c r="I54" s="24"/>
    </row>
    <row r="55" spans="1:9" ht="15" x14ac:dyDescent="0.25">
      <c r="A55" s="5">
        <v>892</v>
      </c>
      <c r="B55" s="6" t="s">
        <v>34</v>
      </c>
      <c r="C55" s="18">
        <v>25</v>
      </c>
      <c r="D55" s="19">
        <v>3.2</v>
      </c>
      <c r="F55" s="2">
        <f>(C55*D55)+(C56*D56)</f>
        <v>84</v>
      </c>
      <c r="I55" s="24"/>
    </row>
    <row r="56" spans="1:9" ht="15" x14ac:dyDescent="0.25">
      <c r="A56" s="8">
        <v>892</v>
      </c>
      <c r="B56" s="3" t="s">
        <v>49</v>
      </c>
      <c r="C56" s="21">
        <v>2</v>
      </c>
      <c r="D56" s="20">
        <v>2</v>
      </c>
      <c r="I56" s="24"/>
    </row>
    <row r="57" spans="1:9" ht="15.6" thickBot="1" x14ac:dyDescent="0.3">
      <c r="A57" s="9">
        <v>892</v>
      </c>
      <c r="B57" s="10" t="s">
        <v>7</v>
      </c>
      <c r="C57" s="11">
        <f>SUM(C55:C56)</f>
        <v>27</v>
      </c>
      <c r="D57" s="12">
        <f>F55/C57</f>
        <v>3.1111111111111112</v>
      </c>
      <c r="I57" s="24"/>
    </row>
    <row r="58" spans="1:9" ht="15" x14ac:dyDescent="0.25">
      <c r="A58" s="5">
        <v>893</v>
      </c>
      <c r="B58" s="6" t="s">
        <v>35</v>
      </c>
      <c r="C58" s="18">
        <v>32</v>
      </c>
      <c r="D58" s="19">
        <v>4.9000000000000004</v>
      </c>
      <c r="F58" s="2">
        <f>(C58*D58)+(C60*D60)</f>
        <v>269.3</v>
      </c>
      <c r="I58" s="24"/>
    </row>
    <row r="59" spans="1:9" ht="15" x14ac:dyDescent="0.25">
      <c r="A59" s="8">
        <v>893</v>
      </c>
      <c r="B59" s="3" t="s">
        <v>50</v>
      </c>
      <c r="C59" s="21">
        <v>0</v>
      </c>
      <c r="D59" s="20">
        <v>0</v>
      </c>
      <c r="I59" s="24"/>
    </row>
    <row r="60" spans="1:9" ht="15" x14ac:dyDescent="0.25">
      <c r="A60" s="8">
        <v>893</v>
      </c>
      <c r="B60" s="3" t="s">
        <v>36</v>
      </c>
      <c r="C60" s="21">
        <v>15</v>
      </c>
      <c r="D60" s="20">
        <v>7.5</v>
      </c>
      <c r="I60" s="24"/>
    </row>
    <row r="61" spans="1:9" ht="15.6" thickBot="1" x14ac:dyDescent="0.3">
      <c r="A61" s="9">
        <v>893</v>
      </c>
      <c r="B61" s="10" t="s">
        <v>7</v>
      </c>
      <c r="C61" s="11">
        <f>SUM(C58:C60)</f>
        <v>47</v>
      </c>
      <c r="D61" s="12">
        <f>F58/C61</f>
        <v>5.7297872340425533</v>
      </c>
      <c r="I61" s="24"/>
    </row>
    <row r="62" spans="1:9" ht="15" x14ac:dyDescent="0.25">
      <c r="A62" s="5">
        <v>894</v>
      </c>
      <c r="B62" s="6" t="s">
        <v>37</v>
      </c>
      <c r="C62" s="18">
        <v>24</v>
      </c>
      <c r="D62" s="19">
        <v>0.1</v>
      </c>
      <c r="F62" s="2">
        <f>(C62*D62)+(C64*D64)+(C63*D63)</f>
        <v>4.4000000000000004</v>
      </c>
      <c r="I62" s="24"/>
    </row>
    <row r="63" spans="1:9" ht="15" x14ac:dyDescent="0.25">
      <c r="A63" s="8">
        <v>894</v>
      </c>
      <c r="B63" s="3" t="s">
        <v>101</v>
      </c>
      <c r="C63" s="4">
        <v>5</v>
      </c>
      <c r="D63" s="33">
        <v>0.4</v>
      </c>
      <c r="I63" s="24"/>
    </row>
    <row r="64" spans="1:9" ht="15" x14ac:dyDescent="0.25">
      <c r="A64" s="8">
        <v>894</v>
      </c>
      <c r="B64" s="3" t="s">
        <v>38</v>
      </c>
      <c r="C64" s="4">
        <v>0</v>
      </c>
      <c r="D64" s="15">
        <v>0</v>
      </c>
      <c r="I64" s="24"/>
    </row>
    <row r="65" spans="1:9" ht="15.6" thickBot="1" x14ac:dyDescent="0.3">
      <c r="A65" s="9">
        <v>894</v>
      </c>
      <c r="B65" s="10" t="s">
        <v>7</v>
      </c>
      <c r="C65" s="11">
        <f>SUM(C62:C64)</f>
        <v>29</v>
      </c>
      <c r="D65" s="12">
        <f>F62/C65</f>
        <v>0.15172413793103451</v>
      </c>
      <c r="I65" s="24"/>
    </row>
    <row r="66" spans="1:9" ht="15" x14ac:dyDescent="0.25">
      <c r="A66" s="5">
        <v>895</v>
      </c>
      <c r="B66" s="6" t="s">
        <v>39</v>
      </c>
      <c r="C66" s="7">
        <v>0</v>
      </c>
      <c r="D66" s="14">
        <v>0</v>
      </c>
      <c r="F66" s="2">
        <f>(C66*D66)+(C67*D67)</f>
        <v>1496.4</v>
      </c>
      <c r="I66" s="44"/>
    </row>
    <row r="67" spans="1:9" ht="15" x14ac:dyDescent="0.25">
      <c r="A67" s="8">
        <v>895</v>
      </c>
      <c r="B67" s="3" t="s">
        <v>40</v>
      </c>
      <c r="C67" s="21">
        <v>58</v>
      </c>
      <c r="D67" s="20">
        <v>25.8</v>
      </c>
      <c r="I67" s="43"/>
    </row>
    <row r="68" spans="1:9" ht="15.6" thickBot="1" x14ac:dyDescent="0.3">
      <c r="A68" s="9">
        <v>895</v>
      </c>
      <c r="B68" s="10" t="s">
        <v>7</v>
      </c>
      <c r="C68" s="11">
        <f>SUM(C66:C67)</f>
        <v>58</v>
      </c>
      <c r="D68" s="12">
        <f>F66/C68</f>
        <v>25.8</v>
      </c>
    </row>
    <row r="69" spans="1:9" ht="15" x14ac:dyDescent="0.25">
      <c r="A69" s="5">
        <v>896</v>
      </c>
      <c r="B69" s="6" t="s">
        <v>41</v>
      </c>
      <c r="C69" s="18">
        <v>17</v>
      </c>
      <c r="D69" s="19">
        <v>4.7</v>
      </c>
    </row>
    <row r="70" spans="1:9" ht="15.6" thickBot="1" x14ac:dyDescent="0.3">
      <c r="A70" s="9">
        <v>896</v>
      </c>
      <c r="B70" s="10" t="s">
        <v>7</v>
      </c>
      <c r="C70" s="10">
        <v>16</v>
      </c>
      <c r="D70" s="12">
        <v>8.1</v>
      </c>
    </row>
    <row r="71" spans="1:9" ht="15" x14ac:dyDescent="0.25">
      <c r="A71" s="5">
        <v>897</v>
      </c>
      <c r="B71" s="6" t="s">
        <v>42</v>
      </c>
      <c r="C71" s="7">
        <v>3</v>
      </c>
      <c r="D71" s="14">
        <v>31.3</v>
      </c>
      <c r="F71" s="2">
        <f>(C71*D71)+(C72*D72)</f>
        <v>103.2</v>
      </c>
    </row>
    <row r="72" spans="1:9" ht="15" x14ac:dyDescent="0.25">
      <c r="A72" s="8">
        <v>897</v>
      </c>
      <c r="B72" s="3" t="s">
        <v>43</v>
      </c>
      <c r="C72" s="21">
        <v>31</v>
      </c>
      <c r="D72" s="20">
        <v>0.3</v>
      </c>
    </row>
    <row r="73" spans="1:9" ht="15.6" thickBot="1" x14ac:dyDescent="0.3">
      <c r="A73" s="9">
        <v>897</v>
      </c>
      <c r="B73" s="10" t="s">
        <v>7</v>
      </c>
      <c r="C73" s="11">
        <f>SUM(C71:C72)</f>
        <v>34</v>
      </c>
      <c r="D73" s="12">
        <f>F71/C73</f>
        <v>3.0352941176470587</v>
      </c>
    </row>
    <row r="74" spans="1:9" ht="15" x14ac:dyDescent="0.25">
      <c r="A74" s="5">
        <v>898</v>
      </c>
      <c r="B74" s="6" t="s">
        <v>44</v>
      </c>
      <c r="C74" s="18">
        <v>1</v>
      </c>
      <c r="D74" s="19">
        <v>0</v>
      </c>
      <c r="F74" s="2">
        <f>(C74*D74)+(C75*D75)</f>
        <v>10.4</v>
      </c>
    </row>
    <row r="75" spans="1:9" ht="15" x14ac:dyDescent="0.25">
      <c r="A75" s="8">
        <v>898</v>
      </c>
      <c r="B75" s="3" t="s">
        <v>45</v>
      </c>
      <c r="C75" s="21">
        <v>13</v>
      </c>
      <c r="D75" s="20">
        <v>0.8</v>
      </c>
    </row>
    <row r="76" spans="1:9" ht="15.6" thickBot="1" x14ac:dyDescent="0.3">
      <c r="A76" s="9">
        <v>898</v>
      </c>
      <c r="B76" s="10" t="s">
        <v>7</v>
      </c>
      <c r="C76" s="11">
        <f>SUM(C74:C75)</f>
        <v>14</v>
      </c>
      <c r="D76" s="12">
        <f>F74/C76</f>
        <v>0.74285714285714288</v>
      </c>
    </row>
    <row r="77" spans="1:9" ht="15" x14ac:dyDescent="0.25">
      <c r="A77" s="5">
        <v>899</v>
      </c>
      <c r="B77" s="6" t="s">
        <v>46</v>
      </c>
      <c r="C77" s="18">
        <v>17</v>
      </c>
      <c r="D77" s="19">
        <v>5.5</v>
      </c>
      <c r="F77" s="2">
        <f>(C77*D77)+(C78*D78)</f>
        <v>93.5</v>
      </c>
    </row>
    <row r="78" spans="1:9" ht="15" x14ac:dyDescent="0.25">
      <c r="A78" s="8">
        <v>899</v>
      </c>
      <c r="B78" s="3" t="s">
        <v>47</v>
      </c>
      <c r="C78" s="4">
        <v>0</v>
      </c>
      <c r="D78" s="15">
        <v>0</v>
      </c>
    </row>
    <row r="79" spans="1:9" ht="15.6" thickBot="1" x14ac:dyDescent="0.3">
      <c r="A79" s="9">
        <v>899</v>
      </c>
      <c r="B79" s="10" t="s">
        <v>7</v>
      </c>
      <c r="C79" s="11">
        <f>SUM(C77:C78)</f>
        <v>17</v>
      </c>
      <c r="D79" s="12">
        <f>F77/C79</f>
        <v>5.5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E22C3-C8DA-4C38-80F0-2407270C1423}">
  <dimension ref="A2:I79"/>
  <sheetViews>
    <sheetView topLeftCell="A41" workbookViewId="0">
      <selection activeCell="I32" sqref="I32:I53"/>
    </sheetView>
  </sheetViews>
  <sheetFormatPr defaultColWidth="9.109375" defaultRowHeight="13.2" x14ac:dyDescent="0.25"/>
  <cols>
    <col min="1" max="2" width="12.6640625" style="2" customWidth="1"/>
    <col min="3" max="3" width="8.5546875" style="2" customWidth="1"/>
    <col min="4" max="4" width="19.109375" style="16" customWidth="1"/>
    <col min="5" max="7" width="10.44140625" style="2" customWidth="1"/>
    <col min="8" max="16384" width="9.109375" style="2"/>
  </cols>
  <sheetData>
    <row r="2" spans="1:6" ht="16.2" thickBot="1" x14ac:dyDescent="0.3">
      <c r="A2" s="1" t="s">
        <v>0</v>
      </c>
      <c r="B2" s="1" t="s">
        <v>1</v>
      </c>
      <c r="C2" s="1" t="s">
        <v>2</v>
      </c>
      <c r="D2" s="13" t="s">
        <v>3</v>
      </c>
    </row>
    <row r="3" spans="1:6" ht="15" x14ac:dyDescent="0.25">
      <c r="A3" s="47">
        <v>877</v>
      </c>
      <c r="B3" s="36" t="s">
        <v>98</v>
      </c>
      <c r="C3" s="36">
        <v>12</v>
      </c>
      <c r="D3" s="40">
        <v>7</v>
      </c>
    </row>
    <row r="4" spans="1:6" ht="16.2" thickBot="1" x14ac:dyDescent="0.3">
      <c r="A4" s="9">
        <v>877</v>
      </c>
      <c r="B4" s="42"/>
      <c r="C4" s="10">
        <v>12</v>
      </c>
      <c r="D4" s="12">
        <v>7</v>
      </c>
    </row>
    <row r="5" spans="1:6" ht="15" x14ac:dyDescent="0.25">
      <c r="A5" s="39" t="s">
        <v>95</v>
      </c>
      <c r="B5" s="36" t="s">
        <v>99</v>
      </c>
      <c r="C5" s="36">
        <v>1</v>
      </c>
      <c r="D5" s="40">
        <v>0</v>
      </c>
      <c r="F5" s="2">
        <f>(C5*D5)+(C6*D6)</f>
        <v>0</v>
      </c>
    </row>
    <row r="6" spans="1:6" ht="15" x14ac:dyDescent="0.25">
      <c r="A6" s="50" t="s">
        <v>95</v>
      </c>
      <c r="B6" s="27" t="s">
        <v>88</v>
      </c>
      <c r="C6" s="27">
        <v>11</v>
      </c>
      <c r="D6" s="49">
        <v>0</v>
      </c>
      <c r="F6" s="16"/>
    </row>
    <row r="7" spans="1:6" ht="16.2" thickBot="1" x14ac:dyDescent="0.3">
      <c r="A7" s="41"/>
      <c r="B7" s="42"/>
      <c r="C7" s="10">
        <f>SUM(C5:C6)</f>
        <v>12</v>
      </c>
      <c r="D7" s="12">
        <f>F5/C7</f>
        <v>0</v>
      </c>
      <c r="F7" s="16"/>
    </row>
    <row r="8" spans="1:6" ht="15" x14ac:dyDescent="0.25">
      <c r="A8" s="17" t="s">
        <v>96</v>
      </c>
      <c r="B8" s="6" t="s">
        <v>4</v>
      </c>
      <c r="C8" s="18">
        <v>42</v>
      </c>
      <c r="D8" s="19">
        <v>7.5</v>
      </c>
      <c r="F8" s="2">
        <f>(C8*D8)+(C9*D9)+(C10*D10)</f>
        <v>363.8</v>
      </c>
    </row>
    <row r="9" spans="1:6" ht="15" x14ac:dyDescent="0.25">
      <c r="A9" s="8">
        <v>879</v>
      </c>
      <c r="B9" s="3" t="s">
        <v>5</v>
      </c>
      <c r="C9" s="21">
        <v>5</v>
      </c>
      <c r="D9" s="20">
        <v>4.8</v>
      </c>
    </row>
    <row r="10" spans="1:6" ht="15" x14ac:dyDescent="0.25">
      <c r="A10" s="8">
        <v>879</v>
      </c>
      <c r="B10" s="3" t="s">
        <v>6</v>
      </c>
      <c r="C10" s="21">
        <v>4</v>
      </c>
      <c r="D10" s="20">
        <v>6.2</v>
      </c>
    </row>
    <row r="11" spans="1:6" ht="15.6" thickBot="1" x14ac:dyDescent="0.3">
      <c r="A11" s="9">
        <v>879</v>
      </c>
      <c r="B11" s="10" t="s">
        <v>7</v>
      </c>
      <c r="C11" s="11">
        <f>SUM(C8:C10)</f>
        <v>51</v>
      </c>
      <c r="D11" s="12">
        <f>F8/C11</f>
        <v>7.1333333333333337</v>
      </c>
    </row>
    <row r="12" spans="1:6" ht="15" x14ac:dyDescent="0.25">
      <c r="A12" s="5">
        <v>880</v>
      </c>
      <c r="B12" s="6" t="s">
        <v>8</v>
      </c>
      <c r="C12" s="18">
        <v>0</v>
      </c>
      <c r="D12" s="19">
        <v>0</v>
      </c>
      <c r="F12" s="2">
        <f>(C12*D12)+(C14*D14)+(C13*D13)</f>
        <v>95</v>
      </c>
    </row>
    <row r="13" spans="1:6" ht="15" x14ac:dyDescent="0.25">
      <c r="A13" s="8">
        <v>880</v>
      </c>
      <c r="B13" s="3" t="s">
        <v>92</v>
      </c>
      <c r="C13" s="34">
        <v>0</v>
      </c>
      <c r="D13" s="35">
        <v>0</v>
      </c>
    </row>
    <row r="14" spans="1:6" ht="15" x14ac:dyDescent="0.25">
      <c r="A14" s="8">
        <v>880</v>
      </c>
      <c r="B14" s="3" t="s">
        <v>9</v>
      </c>
      <c r="C14" s="21">
        <v>19</v>
      </c>
      <c r="D14" s="20">
        <v>5</v>
      </c>
    </row>
    <row r="15" spans="1:6" ht="15.6" thickBot="1" x14ac:dyDescent="0.3">
      <c r="A15" s="9">
        <v>880</v>
      </c>
      <c r="B15" s="10" t="s">
        <v>7</v>
      </c>
      <c r="C15" s="11">
        <f>SUM(C12:C14)</f>
        <v>19</v>
      </c>
      <c r="D15" s="12">
        <f>F12/C15</f>
        <v>5</v>
      </c>
    </row>
    <row r="16" spans="1:6" ht="15" x14ac:dyDescent="0.25">
      <c r="A16" s="5">
        <v>881</v>
      </c>
      <c r="B16" s="6" t="s">
        <v>10</v>
      </c>
      <c r="C16" s="18">
        <v>0</v>
      </c>
      <c r="D16" s="19">
        <v>0</v>
      </c>
      <c r="F16" s="2">
        <f>(C16*D16)+(C17*D17)+(C18*D18)</f>
        <v>147.5</v>
      </c>
    </row>
    <row r="17" spans="1:9" ht="15" x14ac:dyDescent="0.25">
      <c r="A17" s="8">
        <v>881</v>
      </c>
      <c r="B17" s="3" t="s">
        <v>12</v>
      </c>
      <c r="C17" s="21">
        <v>35</v>
      </c>
      <c r="D17" s="20">
        <v>3.9</v>
      </c>
    </row>
    <row r="18" spans="1:9" ht="15" x14ac:dyDescent="0.25">
      <c r="A18" s="8">
        <v>881</v>
      </c>
      <c r="B18" s="3" t="s">
        <v>11</v>
      </c>
      <c r="C18" s="21">
        <v>2</v>
      </c>
      <c r="D18" s="20">
        <v>5.5</v>
      </c>
    </row>
    <row r="19" spans="1:9" ht="15.6" thickBot="1" x14ac:dyDescent="0.3">
      <c r="A19" s="9">
        <v>881</v>
      </c>
      <c r="B19" s="10" t="s">
        <v>7</v>
      </c>
      <c r="C19" s="11">
        <f>SUM(C16:C18)</f>
        <v>37</v>
      </c>
      <c r="D19" s="12">
        <f>F16/C19</f>
        <v>3.9864864864864864</v>
      </c>
    </row>
    <row r="20" spans="1:9" ht="15" x14ac:dyDescent="0.25">
      <c r="A20" s="5">
        <v>882</v>
      </c>
      <c r="B20" s="6" t="s">
        <v>13</v>
      </c>
      <c r="C20" s="18">
        <v>55</v>
      </c>
      <c r="D20" s="19">
        <v>7.7</v>
      </c>
      <c r="F20" s="2">
        <f>(C20*D20)+(C21*D21)</f>
        <v>426.5</v>
      </c>
    </row>
    <row r="21" spans="1:9" ht="15" x14ac:dyDescent="0.25">
      <c r="A21" s="8">
        <v>882</v>
      </c>
      <c r="B21" s="3" t="s">
        <v>14</v>
      </c>
      <c r="C21" s="21">
        <v>1</v>
      </c>
      <c r="D21" s="20">
        <v>3</v>
      </c>
    </row>
    <row r="22" spans="1:9" ht="15.6" thickBot="1" x14ac:dyDescent="0.3">
      <c r="A22" s="9">
        <v>882</v>
      </c>
      <c r="B22" s="10" t="s">
        <v>7</v>
      </c>
      <c r="C22" s="11">
        <f>SUM(C20:C21)</f>
        <v>56</v>
      </c>
      <c r="D22" s="12">
        <f>F20/C22</f>
        <v>7.6160714285714288</v>
      </c>
    </row>
    <row r="23" spans="1:9" ht="15" x14ac:dyDescent="0.25">
      <c r="A23" s="5">
        <v>884</v>
      </c>
      <c r="B23" s="6" t="s">
        <v>15</v>
      </c>
      <c r="C23" s="18">
        <v>2</v>
      </c>
      <c r="D23" s="19">
        <v>33.5</v>
      </c>
      <c r="F23" s="2">
        <f>(C23*D23)+(C24*D24)+(C25*D25)</f>
        <v>135.69999999999999</v>
      </c>
    </row>
    <row r="24" spans="1:9" ht="15" x14ac:dyDescent="0.25">
      <c r="A24" s="8">
        <v>884</v>
      </c>
      <c r="B24" s="3" t="s">
        <v>16</v>
      </c>
      <c r="C24" s="21">
        <v>13</v>
      </c>
      <c r="D24" s="20">
        <v>0.9</v>
      </c>
    </row>
    <row r="25" spans="1:9" ht="15" x14ac:dyDescent="0.25">
      <c r="A25" s="8">
        <v>884</v>
      </c>
      <c r="B25" s="3" t="s">
        <v>17</v>
      </c>
      <c r="C25" s="21">
        <v>57</v>
      </c>
      <c r="D25" s="20">
        <v>1</v>
      </c>
    </row>
    <row r="26" spans="1:9" ht="15.6" thickBot="1" x14ac:dyDescent="0.3">
      <c r="A26" s="9">
        <v>884</v>
      </c>
      <c r="B26" s="10" t="s">
        <v>7</v>
      </c>
      <c r="C26" s="11">
        <f>SUM(C23:C25)</f>
        <v>72</v>
      </c>
      <c r="D26" s="12">
        <f>F23/C26</f>
        <v>1.884722222222222</v>
      </c>
    </row>
    <row r="27" spans="1:9" ht="15" x14ac:dyDescent="0.25">
      <c r="A27" s="29" t="s">
        <v>97</v>
      </c>
      <c r="B27" s="27" t="s">
        <v>64</v>
      </c>
      <c r="C27" s="28">
        <v>17</v>
      </c>
      <c r="D27" s="32">
        <v>3.2</v>
      </c>
      <c r="F27" s="2">
        <f>(C27*D27)+(C28*D28)</f>
        <v>54.400000000000006</v>
      </c>
    </row>
    <row r="28" spans="1:9" ht="15" x14ac:dyDescent="0.25">
      <c r="A28" s="29" t="s">
        <v>97</v>
      </c>
      <c r="B28" s="27" t="s">
        <v>91</v>
      </c>
      <c r="C28" s="28">
        <v>0</v>
      </c>
      <c r="D28" s="32">
        <v>0</v>
      </c>
    </row>
    <row r="29" spans="1:9" ht="15.6" thickBot="1" x14ac:dyDescent="0.3">
      <c r="A29" s="30" t="s">
        <v>97</v>
      </c>
      <c r="B29" s="25"/>
      <c r="C29" s="26">
        <f>SUM(C27:C28)</f>
        <v>17</v>
      </c>
      <c r="D29" s="12">
        <f>F27/C29</f>
        <v>3.2</v>
      </c>
    </row>
    <row r="30" spans="1:9" ht="15" x14ac:dyDescent="0.25">
      <c r="A30" s="5">
        <v>886</v>
      </c>
      <c r="B30" s="6" t="s">
        <v>18</v>
      </c>
      <c r="C30" s="18">
        <v>27</v>
      </c>
      <c r="D30" s="19">
        <v>1.2</v>
      </c>
      <c r="F30" s="2">
        <f>(C30*D30)+(C32*D32)+(C31*D31)</f>
        <v>32.4</v>
      </c>
    </row>
    <row r="31" spans="1:9" ht="15" x14ac:dyDescent="0.25">
      <c r="A31" s="8">
        <v>886</v>
      </c>
      <c r="B31" s="3" t="s">
        <v>90</v>
      </c>
      <c r="C31" s="4">
        <v>0</v>
      </c>
      <c r="D31" s="33">
        <v>0</v>
      </c>
    </row>
    <row r="32" spans="1:9" ht="15" x14ac:dyDescent="0.25">
      <c r="A32" s="8">
        <v>886</v>
      </c>
      <c r="B32" s="3" t="s">
        <v>19</v>
      </c>
      <c r="C32" s="4">
        <v>0</v>
      </c>
      <c r="D32" s="15">
        <v>0</v>
      </c>
      <c r="I32" s="2">
        <v>7</v>
      </c>
    </row>
    <row r="33" spans="1:9" ht="15.6" thickBot="1" x14ac:dyDescent="0.3">
      <c r="A33" s="9">
        <v>886</v>
      </c>
      <c r="B33" s="10" t="s">
        <v>7</v>
      </c>
      <c r="C33" s="11">
        <f>SUM(C30:C32)</f>
        <v>27</v>
      </c>
      <c r="D33" s="12">
        <f>F30/C33</f>
        <v>1.2</v>
      </c>
      <c r="I33" s="2">
        <v>0</v>
      </c>
    </row>
    <row r="34" spans="1:9" ht="15" x14ac:dyDescent="0.25">
      <c r="A34" s="5">
        <v>887</v>
      </c>
      <c r="B34" s="6" t="s">
        <v>20</v>
      </c>
      <c r="C34" s="7">
        <v>0</v>
      </c>
      <c r="D34" s="14">
        <v>0</v>
      </c>
      <c r="F34" s="2">
        <f>(C34*D34)+(C35*D35)</f>
        <v>156.6</v>
      </c>
      <c r="I34" s="2">
        <v>7.1</v>
      </c>
    </row>
    <row r="35" spans="1:9" ht="15" x14ac:dyDescent="0.25">
      <c r="A35" s="8">
        <v>887</v>
      </c>
      <c r="B35" s="3" t="s">
        <v>21</v>
      </c>
      <c r="C35" s="21">
        <v>18</v>
      </c>
      <c r="D35" s="20">
        <v>8.6999999999999993</v>
      </c>
      <c r="I35" s="24">
        <v>5</v>
      </c>
    </row>
    <row r="36" spans="1:9" ht="15.6" thickBot="1" x14ac:dyDescent="0.3">
      <c r="A36" s="9">
        <v>887</v>
      </c>
      <c r="B36" s="10" t="s">
        <v>7</v>
      </c>
      <c r="C36" s="11">
        <f>SUM(C34:C35)</f>
        <v>18</v>
      </c>
      <c r="D36" s="12">
        <f>F34/C36</f>
        <v>8.6999999999999993</v>
      </c>
      <c r="I36" s="24">
        <v>4</v>
      </c>
    </row>
    <row r="37" spans="1:9" ht="15" x14ac:dyDescent="0.25">
      <c r="A37" s="5">
        <v>888</v>
      </c>
      <c r="B37" s="6" t="s">
        <v>22</v>
      </c>
      <c r="C37" s="18">
        <v>2</v>
      </c>
      <c r="D37" s="19">
        <v>9.5</v>
      </c>
      <c r="F37" s="2">
        <f>(C37*D37)+(C38*D38)+(C39*D39)+(C40*D40)</f>
        <v>543.20000000000005</v>
      </c>
      <c r="I37" s="24">
        <v>7.6</v>
      </c>
    </row>
    <row r="38" spans="1:9" ht="15" x14ac:dyDescent="0.25">
      <c r="A38" s="8">
        <v>888</v>
      </c>
      <c r="B38" s="3" t="s">
        <v>23</v>
      </c>
      <c r="C38" s="4">
        <v>4</v>
      </c>
      <c r="D38" s="15">
        <v>70</v>
      </c>
      <c r="I38" s="24">
        <v>1.9</v>
      </c>
    </row>
    <row r="39" spans="1:9" ht="15" x14ac:dyDescent="0.25">
      <c r="A39" s="8">
        <v>888</v>
      </c>
      <c r="B39" s="3" t="s">
        <v>24</v>
      </c>
      <c r="C39" s="21">
        <v>22</v>
      </c>
      <c r="D39" s="20">
        <v>11.1</v>
      </c>
      <c r="I39" s="24">
        <v>3.2</v>
      </c>
    </row>
    <row r="40" spans="1:9" ht="15" x14ac:dyDescent="0.25">
      <c r="A40" s="8">
        <v>888</v>
      </c>
      <c r="B40" s="3" t="s">
        <v>48</v>
      </c>
      <c r="C40" s="21">
        <v>0</v>
      </c>
      <c r="D40" s="20">
        <v>0</v>
      </c>
      <c r="I40" s="24">
        <v>1.2</v>
      </c>
    </row>
    <row r="41" spans="1:9" ht="15.6" thickBot="1" x14ac:dyDescent="0.3">
      <c r="A41" s="9">
        <v>888</v>
      </c>
      <c r="B41" s="10" t="s">
        <v>7</v>
      </c>
      <c r="C41" s="11">
        <f>SUM(C37:C40)</f>
        <v>28</v>
      </c>
      <c r="D41" s="12">
        <f>F37/C41</f>
        <v>19.400000000000002</v>
      </c>
      <c r="I41" s="24">
        <v>8.6999999999999993</v>
      </c>
    </row>
    <row r="42" spans="1:9" ht="15" x14ac:dyDescent="0.25">
      <c r="A42" s="5">
        <v>889</v>
      </c>
      <c r="B42" s="6" t="s">
        <v>25</v>
      </c>
      <c r="C42" s="18">
        <v>30</v>
      </c>
      <c r="D42" s="19">
        <v>8.4</v>
      </c>
      <c r="F42" s="2">
        <f>(C42*D42)+(C43*D43)+(C44*D44)+(C45*D45)+(C46*D46)</f>
        <v>346.9</v>
      </c>
      <c r="I42" s="24">
        <v>19.399999999999999</v>
      </c>
    </row>
    <row r="43" spans="1:9" ht="15" x14ac:dyDescent="0.25">
      <c r="A43" s="8">
        <v>889</v>
      </c>
      <c r="B43" s="3" t="s">
        <v>26</v>
      </c>
      <c r="C43" s="21">
        <v>14</v>
      </c>
      <c r="D43" s="20">
        <v>2</v>
      </c>
      <c r="I43" s="24">
        <v>7.1</v>
      </c>
    </row>
    <row r="44" spans="1:9" ht="15" x14ac:dyDescent="0.25">
      <c r="A44" s="8">
        <v>889</v>
      </c>
      <c r="B44" s="3" t="s">
        <v>27</v>
      </c>
      <c r="C44" s="21">
        <v>0</v>
      </c>
      <c r="D44" s="20">
        <v>0</v>
      </c>
      <c r="I44" s="24">
        <v>3.5</v>
      </c>
    </row>
    <row r="45" spans="1:9" ht="15" x14ac:dyDescent="0.25">
      <c r="A45" s="8">
        <v>889</v>
      </c>
      <c r="B45" s="3" t="s">
        <v>28</v>
      </c>
      <c r="C45" s="21">
        <v>2</v>
      </c>
      <c r="D45" s="20">
        <v>28.5</v>
      </c>
      <c r="I45" s="24">
        <v>11.6</v>
      </c>
    </row>
    <row r="46" spans="1:9" ht="15" x14ac:dyDescent="0.25">
      <c r="A46" s="8">
        <v>889</v>
      </c>
      <c r="B46" s="3" t="s">
        <v>87</v>
      </c>
      <c r="C46" s="4">
        <v>3</v>
      </c>
      <c r="D46" s="33">
        <v>3.3</v>
      </c>
      <c r="I46" s="24">
        <v>3.8</v>
      </c>
    </row>
    <row r="47" spans="1:9" ht="15.6" thickBot="1" x14ac:dyDescent="0.3">
      <c r="A47" s="9">
        <v>889</v>
      </c>
      <c r="B47" s="10" t="s">
        <v>7</v>
      </c>
      <c r="C47" s="11">
        <f>SUM(C42:C46)</f>
        <v>49</v>
      </c>
      <c r="D47" s="12">
        <f>F42/C47</f>
        <v>7.0795918367346937</v>
      </c>
      <c r="I47" s="24">
        <v>16</v>
      </c>
    </row>
    <row r="48" spans="1:9" ht="15" x14ac:dyDescent="0.25">
      <c r="A48" s="5">
        <v>890</v>
      </c>
      <c r="B48" s="6" t="s">
        <v>29</v>
      </c>
      <c r="C48" s="18">
        <v>24</v>
      </c>
      <c r="D48" s="19">
        <v>3.5</v>
      </c>
      <c r="F48" s="2">
        <f>(C48*D48)+(C49*D49)</f>
        <v>84</v>
      </c>
      <c r="I48" s="24">
        <v>0.5</v>
      </c>
    </row>
    <row r="49" spans="1:9" ht="15" x14ac:dyDescent="0.25">
      <c r="A49" s="8">
        <v>890</v>
      </c>
      <c r="B49" s="3" t="s">
        <v>30</v>
      </c>
      <c r="C49" s="21">
        <v>0</v>
      </c>
      <c r="D49" s="20">
        <v>0</v>
      </c>
      <c r="I49" s="24">
        <v>29.3</v>
      </c>
    </row>
    <row r="50" spans="1:9" ht="15.6" thickBot="1" x14ac:dyDescent="0.3">
      <c r="A50" s="9">
        <v>890</v>
      </c>
      <c r="B50" s="10" t="s">
        <v>7</v>
      </c>
      <c r="C50" s="11">
        <f>SUM(C48:C49)</f>
        <v>24</v>
      </c>
      <c r="D50" s="12">
        <f>F48/C50</f>
        <v>3.5</v>
      </c>
      <c r="I50" s="24">
        <v>3.6</v>
      </c>
    </row>
    <row r="51" spans="1:9" ht="15" x14ac:dyDescent="0.25">
      <c r="A51" s="5">
        <v>891</v>
      </c>
      <c r="B51" s="6" t="s">
        <v>31</v>
      </c>
      <c r="C51" s="7">
        <v>2</v>
      </c>
      <c r="D51" s="14">
        <v>5</v>
      </c>
      <c r="F51" s="2">
        <f>(C51*D51)+(C52*D52)+(C53*D53)</f>
        <v>464.1</v>
      </c>
      <c r="I51" s="24">
        <v>0.5</v>
      </c>
    </row>
    <row r="52" spans="1:9" ht="15" x14ac:dyDescent="0.25">
      <c r="A52" s="8">
        <v>891</v>
      </c>
      <c r="B52" s="3" t="s">
        <v>32</v>
      </c>
      <c r="C52" s="21">
        <v>19</v>
      </c>
      <c r="D52" s="20">
        <v>14.2</v>
      </c>
      <c r="I52" s="44">
        <v>0.2</v>
      </c>
    </row>
    <row r="53" spans="1:9" ht="15" x14ac:dyDescent="0.25">
      <c r="A53" s="8">
        <v>891</v>
      </c>
      <c r="B53" s="3" t="s">
        <v>33</v>
      </c>
      <c r="C53" s="21">
        <v>19</v>
      </c>
      <c r="D53" s="20">
        <v>9.6999999999999993</v>
      </c>
      <c r="I53" s="44">
        <v>5.0999999999999996</v>
      </c>
    </row>
    <row r="54" spans="1:9" ht="15.6" thickBot="1" x14ac:dyDescent="0.3">
      <c r="A54" s="9">
        <v>891</v>
      </c>
      <c r="B54" s="10" t="s">
        <v>7</v>
      </c>
      <c r="C54" s="11">
        <f>SUM(C51:C53)</f>
        <v>40</v>
      </c>
      <c r="D54" s="12">
        <f>F51/C54</f>
        <v>11.602500000000001</v>
      </c>
      <c r="I54" s="43">
        <f>SUM(I32:I53)/23</f>
        <v>6.3608695652173894</v>
      </c>
    </row>
    <row r="55" spans="1:9" ht="15" x14ac:dyDescent="0.25">
      <c r="A55" s="5">
        <v>892</v>
      </c>
      <c r="B55" s="6" t="s">
        <v>34</v>
      </c>
      <c r="C55" s="18">
        <v>34</v>
      </c>
      <c r="D55" s="19">
        <v>3.9</v>
      </c>
      <c r="F55" s="2">
        <f>(C55*D55)+(C56*D56)</f>
        <v>132.6</v>
      </c>
    </row>
    <row r="56" spans="1:9" ht="15" x14ac:dyDescent="0.25">
      <c r="A56" s="8">
        <v>892</v>
      </c>
      <c r="B56" s="3" t="s">
        <v>49</v>
      </c>
      <c r="C56" s="21">
        <v>1</v>
      </c>
      <c r="D56" s="20">
        <v>0</v>
      </c>
    </row>
    <row r="57" spans="1:9" ht="15.6" thickBot="1" x14ac:dyDescent="0.3">
      <c r="A57" s="9">
        <v>892</v>
      </c>
      <c r="B57" s="10" t="s">
        <v>7</v>
      </c>
      <c r="C57" s="11">
        <f>SUM(C55:C56)</f>
        <v>35</v>
      </c>
      <c r="D57" s="12">
        <f>F55/C57</f>
        <v>3.7885714285714283</v>
      </c>
    </row>
    <row r="58" spans="1:9" ht="15" x14ac:dyDescent="0.25">
      <c r="A58" s="5">
        <v>893</v>
      </c>
      <c r="B58" s="6" t="s">
        <v>35</v>
      </c>
      <c r="C58" s="18">
        <v>25</v>
      </c>
      <c r="D58" s="19">
        <v>3</v>
      </c>
      <c r="F58" s="2">
        <f>(C58*D58)+(C60*D60)</f>
        <v>1006</v>
      </c>
    </row>
    <row r="59" spans="1:9" ht="15" x14ac:dyDescent="0.25">
      <c r="A59" s="8">
        <v>893</v>
      </c>
      <c r="B59" s="3" t="s">
        <v>50</v>
      </c>
      <c r="C59" s="21">
        <v>0</v>
      </c>
      <c r="D59" s="20">
        <v>0</v>
      </c>
    </row>
    <row r="60" spans="1:9" ht="15" x14ac:dyDescent="0.25">
      <c r="A60" s="8">
        <v>893</v>
      </c>
      <c r="B60" s="3" t="s">
        <v>36</v>
      </c>
      <c r="C60" s="21">
        <v>38</v>
      </c>
      <c r="D60" s="20">
        <v>24.5</v>
      </c>
    </row>
    <row r="61" spans="1:9" ht="15.6" thickBot="1" x14ac:dyDescent="0.3">
      <c r="A61" s="9">
        <v>893</v>
      </c>
      <c r="B61" s="10" t="s">
        <v>7</v>
      </c>
      <c r="C61" s="11">
        <f>SUM(C58:C60)</f>
        <v>63</v>
      </c>
      <c r="D61" s="12">
        <f>F58/C61</f>
        <v>15.968253968253968</v>
      </c>
    </row>
    <row r="62" spans="1:9" ht="15" x14ac:dyDescent="0.25">
      <c r="A62" s="5">
        <v>894</v>
      </c>
      <c r="B62" s="6" t="s">
        <v>37</v>
      </c>
      <c r="C62" s="18">
        <v>21</v>
      </c>
      <c r="D62" s="19">
        <v>0.7</v>
      </c>
      <c r="F62" s="2">
        <f>(C62*D62)+(C64*D64)+(C63*D63)</f>
        <v>14.7</v>
      </c>
    </row>
    <row r="63" spans="1:9" ht="15" x14ac:dyDescent="0.25">
      <c r="A63" s="8">
        <v>894</v>
      </c>
      <c r="B63" s="3" t="s">
        <v>101</v>
      </c>
      <c r="C63" s="4">
        <v>7</v>
      </c>
      <c r="D63" s="33">
        <v>0</v>
      </c>
    </row>
    <row r="64" spans="1:9" ht="15" x14ac:dyDescent="0.25">
      <c r="A64" s="8">
        <v>894</v>
      </c>
      <c r="B64" s="3" t="s">
        <v>38</v>
      </c>
      <c r="C64" s="4">
        <v>0</v>
      </c>
      <c r="D64" s="15">
        <v>0</v>
      </c>
    </row>
    <row r="65" spans="1:6" ht="15.6" thickBot="1" x14ac:dyDescent="0.3">
      <c r="A65" s="9">
        <v>894</v>
      </c>
      <c r="B65" s="10" t="s">
        <v>7</v>
      </c>
      <c r="C65" s="11">
        <f>SUM(C62:C64)</f>
        <v>28</v>
      </c>
      <c r="D65" s="12">
        <f>F62/C65</f>
        <v>0.52500000000000002</v>
      </c>
    </row>
    <row r="66" spans="1:6" ht="15" x14ac:dyDescent="0.25">
      <c r="A66" s="5">
        <v>895</v>
      </c>
      <c r="B66" s="6" t="s">
        <v>39</v>
      </c>
      <c r="C66" s="7">
        <v>1</v>
      </c>
      <c r="D66" s="14">
        <v>28</v>
      </c>
      <c r="F66" s="2">
        <f>(C66*D66)+(C67*D67)</f>
        <v>2049.6999999999998</v>
      </c>
    </row>
    <row r="67" spans="1:6" ht="15" x14ac:dyDescent="0.25">
      <c r="A67" s="8">
        <v>895</v>
      </c>
      <c r="B67" s="3" t="s">
        <v>40</v>
      </c>
      <c r="C67" s="21">
        <v>69</v>
      </c>
      <c r="D67" s="20">
        <v>29.3</v>
      </c>
    </row>
    <row r="68" spans="1:6" ht="15.6" thickBot="1" x14ac:dyDescent="0.3">
      <c r="A68" s="9">
        <v>895</v>
      </c>
      <c r="B68" s="10" t="s">
        <v>7</v>
      </c>
      <c r="C68" s="11">
        <f>SUM(C66:C67)</f>
        <v>70</v>
      </c>
      <c r="D68" s="12">
        <f>F66/C68</f>
        <v>29.28142857142857</v>
      </c>
    </row>
    <row r="69" spans="1:6" ht="15" x14ac:dyDescent="0.25">
      <c r="A69" s="5">
        <v>896</v>
      </c>
      <c r="B69" s="6" t="s">
        <v>41</v>
      </c>
      <c r="C69" s="18">
        <v>16</v>
      </c>
      <c r="D69" s="19">
        <v>4.2</v>
      </c>
    </row>
    <row r="70" spans="1:6" ht="15.6" thickBot="1" x14ac:dyDescent="0.3">
      <c r="A70" s="9">
        <v>896</v>
      </c>
      <c r="B70" s="10" t="s">
        <v>7</v>
      </c>
      <c r="C70" s="10">
        <v>15</v>
      </c>
      <c r="D70" s="12">
        <v>3.6</v>
      </c>
    </row>
    <row r="71" spans="1:6" ht="15" x14ac:dyDescent="0.25">
      <c r="A71" s="5">
        <v>897</v>
      </c>
      <c r="B71" s="6" t="s">
        <v>42</v>
      </c>
      <c r="C71" s="7">
        <v>2</v>
      </c>
      <c r="D71" s="14">
        <v>0.5</v>
      </c>
      <c r="F71" s="2">
        <f>(C71*D71)+(C72*D72)</f>
        <v>14</v>
      </c>
    </row>
    <row r="72" spans="1:6" ht="15" x14ac:dyDescent="0.25">
      <c r="A72" s="8">
        <v>897</v>
      </c>
      <c r="B72" s="3" t="s">
        <v>43</v>
      </c>
      <c r="C72" s="21">
        <v>26</v>
      </c>
      <c r="D72" s="20">
        <v>0.5</v>
      </c>
    </row>
    <row r="73" spans="1:6" ht="15.6" thickBot="1" x14ac:dyDescent="0.3">
      <c r="A73" s="9">
        <v>897</v>
      </c>
      <c r="B73" s="10" t="s">
        <v>7</v>
      </c>
      <c r="C73" s="11">
        <f>SUM(C71:C72)</f>
        <v>28</v>
      </c>
      <c r="D73" s="12">
        <f>F71/C73</f>
        <v>0.5</v>
      </c>
    </row>
    <row r="74" spans="1:6" ht="15" x14ac:dyDescent="0.25">
      <c r="A74" s="5">
        <v>898</v>
      </c>
      <c r="B74" s="6" t="s">
        <v>44</v>
      </c>
      <c r="C74" s="18">
        <v>0</v>
      </c>
      <c r="D74" s="19">
        <v>0</v>
      </c>
      <c r="F74" s="2">
        <f>(C74*D74)+(C75*D75)</f>
        <v>3.8000000000000003</v>
      </c>
    </row>
    <row r="75" spans="1:6" ht="15" x14ac:dyDescent="0.25">
      <c r="A75" s="8">
        <v>898</v>
      </c>
      <c r="B75" s="3" t="s">
        <v>45</v>
      </c>
      <c r="C75" s="21">
        <v>19</v>
      </c>
      <c r="D75" s="20">
        <v>0.2</v>
      </c>
    </row>
    <row r="76" spans="1:6" ht="15.6" thickBot="1" x14ac:dyDescent="0.3">
      <c r="A76" s="9">
        <v>898</v>
      </c>
      <c r="B76" s="10" t="s">
        <v>7</v>
      </c>
      <c r="C76" s="11">
        <f>SUM(C74:C75)</f>
        <v>19</v>
      </c>
      <c r="D76" s="12">
        <f>F74/C76</f>
        <v>0.2</v>
      </c>
    </row>
    <row r="77" spans="1:6" ht="15" x14ac:dyDescent="0.25">
      <c r="A77" s="5">
        <v>899</v>
      </c>
      <c r="B77" s="6" t="s">
        <v>46</v>
      </c>
      <c r="C77" s="18">
        <v>27</v>
      </c>
      <c r="D77" s="19">
        <v>5.0999999999999996</v>
      </c>
      <c r="F77" s="2">
        <f>(C77*D77)+(C78*D78)</f>
        <v>137.69999999999999</v>
      </c>
    </row>
    <row r="78" spans="1:6" ht="15" x14ac:dyDescent="0.25">
      <c r="A78" s="8">
        <v>899</v>
      </c>
      <c r="B78" s="3" t="s">
        <v>47</v>
      </c>
      <c r="C78" s="4">
        <v>0</v>
      </c>
      <c r="D78" s="15">
        <v>0</v>
      </c>
    </row>
    <row r="79" spans="1:6" ht="15.6" thickBot="1" x14ac:dyDescent="0.3">
      <c r="A79" s="9">
        <v>899</v>
      </c>
      <c r="B79" s="10" t="s">
        <v>7</v>
      </c>
      <c r="C79" s="11">
        <f>SUM(C77:C78)</f>
        <v>27</v>
      </c>
      <c r="D79" s="12">
        <f>F77/C79</f>
        <v>5.0999999999999996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FD158-18FF-4FAE-BBB5-07F231BF0C79}">
  <dimension ref="A2:I78"/>
  <sheetViews>
    <sheetView topLeftCell="A32" workbookViewId="0">
      <selection activeCell="I34" sqref="I34:I55"/>
    </sheetView>
  </sheetViews>
  <sheetFormatPr defaultColWidth="9.109375" defaultRowHeight="13.2" x14ac:dyDescent="0.25"/>
  <cols>
    <col min="1" max="2" width="12.6640625" style="2" customWidth="1"/>
    <col min="3" max="3" width="8.5546875" style="2" customWidth="1"/>
    <col min="4" max="4" width="19.109375" style="16" customWidth="1"/>
    <col min="5" max="7" width="10.44140625" style="2" customWidth="1"/>
    <col min="8" max="16384" width="9.109375" style="2"/>
  </cols>
  <sheetData>
    <row r="2" spans="1:6" ht="16.2" thickBot="1" x14ac:dyDescent="0.3">
      <c r="A2" s="1" t="s">
        <v>0</v>
      </c>
      <c r="B2" s="1" t="s">
        <v>1</v>
      </c>
      <c r="C2" s="1" t="s">
        <v>2</v>
      </c>
      <c r="D2" s="13" t="s">
        <v>3</v>
      </c>
    </row>
    <row r="3" spans="1:6" ht="15" x14ac:dyDescent="0.25">
      <c r="A3" s="47">
        <v>877</v>
      </c>
      <c r="B3" s="36" t="s">
        <v>98</v>
      </c>
      <c r="C3" s="36">
        <v>11</v>
      </c>
      <c r="D3" s="40">
        <v>3.6</v>
      </c>
    </row>
    <row r="4" spans="1:6" ht="16.2" thickBot="1" x14ac:dyDescent="0.3">
      <c r="A4" s="9">
        <v>877</v>
      </c>
      <c r="B4" s="42"/>
      <c r="C4" s="10">
        <v>11</v>
      </c>
      <c r="D4" s="12">
        <v>3.6</v>
      </c>
    </row>
    <row r="5" spans="1:6" ht="15" x14ac:dyDescent="0.25">
      <c r="A5" s="39" t="s">
        <v>95</v>
      </c>
      <c r="B5" s="36" t="s">
        <v>88</v>
      </c>
      <c r="C5" s="36">
        <v>16</v>
      </c>
      <c r="D5" s="40">
        <v>0.7</v>
      </c>
      <c r="F5" s="16"/>
    </row>
    <row r="6" spans="1:6" ht="16.2" thickBot="1" x14ac:dyDescent="0.3">
      <c r="A6" s="41"/>
      <c r="B6" s="42"/>
      <c r="C6" s="10">
        <v>16</v>
      </c>
      <c r="D6" s="12">
        <v>0.7</v>
      </c>
      <c r="F6" s="16"/>
    </row>
    <row r="7" spans="1:6" ht="15" x14ac:dyDescent="0.25">
      <c r="A7" s="17" t="s">
        <v>96</v>
      </c>
      <c r="B7" s="6" t="s">
        <v>4</v>
      </c>
      <c r="C7" s="18">
        <v>18</v>
      </c>
      <c r="D7" s="19">
        <v>13.2</v>
      </c>
      <c r="F7" s="2">
        <f>(C7*D7)+(C8*D8)+(C9*D9)</f>
        <v>289.39999999999998</v>
      </c>
    </row>
    <row r="8" spans="1:6" ht="15" x14ac:dyDescent="0.25">
      <c r="A8" s="8">
        <v>879</v>
      </c>
      <c r="B8" s="3" t="s">
        <v>5</v>
      </c>
      <c r="C8" s="21">
        <v>4</v>
      </c>
      <c r="D8" s="20">
        <v>3.5</v>
      </c>
    </row>
    <row r="9" spans="1:6" ht="15" x14ac:dyDescent="0.25">
      <c r="A9" s="8">
        <v>879</v>
      </c>
      <c r="B9" s="3" t="s">
        <v>6</v>
      </c>
      <c r="C9" s="21">
        <v>3</v>
      </c>
      <c r="D9" s="20">
        <v>12.6</v>
      </c>
    </row>
    <row r="10" spans="1:6" ht="15.6" thickBot="1" x14ac:dyDescent="0.3">
      <c r="A10" s="9">
        <v>879</v>
      </c>
      <c r="B10" s="10" t="s">
        <v>7</v>
      </c>
      <c r="C10" s="11">
        <f>SUM(C7:C9)</f>
        <v>25</v>
      </c>
      <c r="D10" s="12">
        <f>F7/C10</f>
        <v>11.575999999999999</v>
      </c>
    </row>
    <row r="11" spans="1:6" ht="15" x14ac:dyDescent="0.25">
      <c r="A11" s="5">
        <v>880</v>
      </c>
      <c r="B11" s="6" t="s">
        <v>8</v>
      </c>
      <c r="C11" s="18">
        <v>0</v>
      </c>
      <c r="D11" s="19">
        <v>0</v>
      </c>
      <c r="F11" s="2">
        <f>(C11*D11)+(C13*D13)+(C12*D12)</f>
        <v>93.6</v>
      </c>
    </row>
    <row r="12" spans="1:6" ht="15" x14ac:dyDescent="0.25">
      <c r="A12" s="8">
        <v>880</v>
      </c>
      <c r="B12" s="3" t="s">
        <v>92</v>
      </c>
      <c r="C12" s="34">
        <v>24</v>
      </c>
      <c r="D12" s="35">
        <v>3.9</v>
      </c>
    </row>
    <row r="13" spans="1:6" ht="15" x14ac:dyDescent="0.25">
      <c r="A13" s="8">
        <v>880</v>
      </c>
      <c r="B13" s="3" t="s">
        <v>9</v>
      </c>
      <c r="C13" s="21">
        <v>0</v>
      </c>
      <c r="D13" s="20">
        <v>0</v>
      </c>
    </row>
    <row r="14" spans="1:6" ht="15.6" thickBot="1" x14ac:dyDescent="0.3">
      <c r="A14" s="9">
        <v>880</v>
      </c>
      <c r="B14" s="10" t="s">
        <v>7</v>
      </c>
      <c r="C14" s="11">
        <f>SUM(C11:C13)</f>
        <v>24</v>
      </c>
      <c r="D14" s="12">
        <f>F11/C14</f>
        <v>3.9</v>
      </c>
    </row>
    <row r="15" spans="1:6" ht="15" x14ac:dyDescent="0.25">
      <c r="A15" s="5">
        <v>881</v>
      </c>
      <c r="B15" s="6" t="s">
        <v>10</v>
      </c>
      <c r="C15" s="18">
        <v>0</v>
      </c>
      <c r="D15" s="19">
        <v>0</v>
      </c>
      <c r="F15" s="2">
        <f>(C15*D15)+(C16*D16)+(C17*D17)</f>
        <v>243.6</v>
      </c>
    </row>
    <row r="16" spans="1:6" ht="15" x14ac:dyDescent="0.25">
      <c r="A16" s="8">
        <v>881</v>
      </c>
      <c r="B16" s="3" t="s">
        <v>12</v>
      </c>
      <c r="C16" s="21">
        <v>21</v>
      </c>
      <c r="D16" s="20">
        <v>11.6</v>
      </c>
    </row>
    <row r="17" spans="1:6" ht="15" x14ac:dyDescent="0.25">
      <c r="A17" s="8">
        <v>881</v>
      </c>
      <c r="B17" s="3" t="s">
        <v>11</v>
      </c>
      <c r="C17" s="21">
        <v>0</v>
      </c>
      <c r="D17" s="20">
        <v>0</v>
      </c>
    </row>
    <row r="18" spans="1:6" ht="15.6" thickBot="1" x14ac:dyDescent="0.3">
      <c r="A18" s="9">
        <v>881</v>
      </c>
      <c r="B18" s="10" t="s">
        <v>7</v>
      </c>
      <c r="C18" s="11">
        <f>SUM(C15:C17)</f>
        <v>21</v>
      </c>
      <c r="D18" s="12">
        <f>F15/C18</f>
        <v>11.6</v>
      </c>
    </row>
    <row r="19" spans="1:6" ht="15" x14ac:dyDescent="0.25">
      <c r="A19" s="5">
        <v>882</v>
      </c>
      <c r="B19" s="6" t="s">
        <v>13</v>
      </c>
      <c r="C19" s="18">
        <v>49</v>
      </c>
      <c r="D19" s="19">
        <v>5.4</v>
      </c>
      <c r="F19" s="2">
        <f>(C19*D19)+(C20*D20)</f>
        <v>265.60000000000002</v>
      </c>
    </row>
    <row r="20" spans="1:6" ht="15" x14ac:dyDescent="0.25">
      <c r="A20" s="8">
        <v>882</v>
      </c>
      <c r="B20" s="3" t="s">
        <v>14</v>
      </c>
      <c r="C20" s="21">
        <v>1</v>
      </c>
      <c r="D20" s="20">
        <v>1</v>
      </c>
    </row>
    <row r="21" spans="1:6" ht="15.6" thickBot="1" x14ac:dyDescent="0.3">
      <c r="A21" s="9">
        <v>882</v>
      </c>
      <c r="B21" s="10" t="s">
        <v>7</v>
      </c>
      <c r="C21" s="11">
        <f>SUM(C19:C20)</f>
        <v>50</v>
      </c>
      <c r="D21" s="12">
        <f>F19/C21</f>
        <v>5.3120000000000003</v>
      </c>
    </row>
    <row r="22" spans="1:6" ht="15" x14ac:dyDescent="0.25">
      <c r="A22" s="5">
        <v>884</v>
      </c>
      <c r="B22" s="6" t="s">
        <v>15</v>
      </c>
      <c r="C22" s="18">
        <v>1</v>
      </c>
      <c r="D22" s="19">
        <v>0</v>
      </c>
      <c r="F22" s="2">
        <f>(C22*D22)+(C23*D23)+(C24*D24)</f>
        <v>66.5</v>
      </c>
    </row>
    <row r="23" spans="1:6" ht="15" x14ac:dyDescent="0.25">
      <c r="A23" s="8">
        <v>884</v>
      </c>
      <c r="B23" s="3" t="s">
        <v>16</v>
      </c>
      <c r="C23" s="21">
        <v>3</v>
      </c>
      <c r="D23" s="20">
        <v>3</v>
      </c>
    </row>
    <row r="24" spans="1:6" ht="15" x14ac:dyDescent="0.25">
      <c r="A24" s="8">
        <v>884</v>
      </c>
      <c r="B24" s="3" t="s">
        <v>17</v>
      </c>
      <c r="C24" s="21">
        <v>23</v>
      </c>
      <c r="D24" s="20">
        <v>2.5</v>
      </c>
    </row>
    <row r="25" spans="1:6" ht="15.6" thickBot="1" x14ac:dyDescent="0.3">
      <c r="A25" s="9">
        <v>884</v>
      </c>
      <c r="B25" s="10" t="s">
        <v>7</v>
      </c>
      <c r="C25" s="11">
        <f>SUM(C22:C24)</f>
        <v>27</v>
      </c>
      <c r="D25" s="12">
        <f>F22/C25</f>
        <v>2.4629629629629628</v>
      </c>
    </row>
    <row r="26" spans="1:6" ht="15" x14ac:dyDescent="0.25">
      <c r="A26" s="29" t="s">
        <v>97</v>
      </c>
      <c r="B26" s="27" t="s">
        <v>64</v>
      </c>
      <c r="C26" s="28">
        <v>23</v>
      </c>
      <c r="D26" s="32">
        <v>5</v>
      </c>
      <c r="F26" s="2">
        <f>(C26*D26)+(C27*D27)</f>
        <v>115</v>
      </c>
    </row>
    <row r="27" spans="1:6" ht="15" x14ac:dyDescent="0.25">
      <c r="A27" s="29" t="s">
        <v>97</v>
      </c>
      <c r="B27" s="27" t="s">
        <v>91</v>
      </c>
      <c r="C27" s="28">
        <v>0</v>
      </c>
      <c r="D27" s="32">
        <v>0</v>
      </c>
    </row>
    <row r="28" spans="1:6" ht="15.6" thickBot="1" x14ac:dyDescent="0.3">
      <c r="A28" s="30" t="s">
        <v>97</v>
      </c>
      <c r="B28" s="25"/>
      <c r="C28" s="26">
        <f>SUM(C26:C27)</f>
        <v>23</v>
      </c>
      <c r="D28" s="12">
        <f>F26/C28</f>
        <v>5</v>
      </c>
    </row>
    <row r="29" spans="1:6" ht="15" x14ac:dyDescent="0.25">
      <c r="A29" s="5">
        <v>886</v>
      </c>
      <c r="B29" s="6" t="s">
        <v>18</v>
      </c>
      <c r="C29" s="18">
        <v>31</v>
      </c>
      <c r="D29" s="19">
        <v>4.0999999999999996</v>
      </c>
      <c r="F29" s="2">
        <f>(C29*D29)+(C31*D31)+(C30*D30)</f>
        <v>127.1</v>
      </c>
    </row>
    <row r="30" spans="1:6" ht="15" x14ac:dyDescent="0.25">
      <c r="A30" s="8">
        <v>886</v>
      </c>
      <c r="B30" s="3" t="s">
        <v>90</v>
      </c>
      <c r="C30" s="4">
        <v>0</v>
      </c>
      <c r="D30" s="33">
        <v>0</v>
      </c>
    </row>
    <row r="31" spans="1:6" ht="15" x14ac:dyDescent="0.25">
      <c r="A31" s="8">
        <v>886</v>
      </c>
      <c r="B31" s="3" t="s">
        <v>19</v>
      </c>
      <c r="C31" s="4">
        <v>1</v>
      </c>
      <c r="D31" s="15">
        <v>0</v>
      </c>
    </row>
    <row r="32" spans="1:6" ht="15.6" thickBot="1" x14ac:dyDescent="0.3">
      <c r="A32" s="9">
        <v>886</v>
      </c>
      <c r="B32" s="10" t="s">
        <v>7</v>
      </c>
      <c r="C32" s="11">
        <f>SUM(C29:C31)</f>
        <v>32</v>
      </c>
      <c r="D32" s="12">
        <f>F29/C32</f>
        <v>3.9718749999999998</v>
      </c>
    </row>
    <row r="33" spans="1:9" ht="15" x14ac:dyDescent="0.25">
      <c r="A33" s="5">
        <v>887</v>
      </c>
      <c r="B33" s="6" t="s">
        <v>20</v>
      </c>
      <c r="C33" s="7">
        <v>1</v>
      </c>
      <c r="D33" s="14">
        <v>0</v>
      </c>
      <c r="F33" s="2">
        <f>(C33*D33)+(C34*D34)</f>
        <v>94.3</v>
      </c>
    </row>
    <row r="34" spans="1:9" ht="15" x14ac:dyDescent="0.25">
      <c r="A34" s="8">
        <v>887</v>
      </c>
      <c r="B34" s="3" t="s">
        <v>21</v>
      </c>
      <c r="C34" s="21">
        <v>23</v>
      </c>
      <c r="D34" s="20">
        <v>4.0999999999999996</v>
      </c>
      <c r="I34" s="2">
        <v>3.6</v>
      </c>
    </row>
    <row r="35" spans="1:9" ht="15.6" thickBot="1" x14ac:dyDescent="0.3">
      <c r="A35" s="9">
        <v>887</v>
      </c>
      <c r="B35" s="10" t="s">
        <v>7</v>
      </c>
      <c r="C35" s="11">
        <f>SUM(C33:C34)</f>
        <v>24</v>
      </c>
      <c r="D35" s="12">
        <f>F33/C35</f>
        <v>3.9291666666666667</v>
      </c>
      <c r="I35" s="2">
        <v>0.7</v>
      </c>
    </row>
    <row r="36" spans="1:9" ht="15" x14ac:dyDescent="0.25">
      <c r="A36" s="5">
        <v>888</v>
      </c>
      <c r="B36" s="6" t="s">
        <v>22</v>
      </c>
      <c r="C36" s="18">
        <v>0</v>
      </c>
      <c r="D36" s="19">
        <v>0</v>
      </c>
      <c r="F36" s="2">
        <f>(C36*D36)+(C37*D37)+(C38*D38)+(C39*D39)</f>
        <v>259.8</v>
      </c>
      <c r="I36" s="2">
        <v>11.6</v>
      </c>
    </row>
    <row r="37" spans="1:9" ht="15" x14ac:dyDescent="0.25">
      <c r="A37" s="8">
        <v>888</v>
      </c>
      <c r="B37" s="3" t="s">
        <v>23</v>
      </c>
      <c r="C37" s="4">
        <v>2</v>
      </c>
      <c r="D37" s="15">
        <v>6</v>
      </c>
      <c r="I37" s="2">
        <v>3.9</v>
      </c>
    </row>
    <row r="38" spans="1:9" ht="15" x14ac:dyDescent="0.25">
      <c r="A38" s="8">
        <v>888</v>
      </c>
      <c r="B38" s="3" t="s">
        <v>24</v>
      </c>
      <c r="C38" s="21">
        <v>21</v>
      </c>
      <c r="D38" s="20">
        <v>11.8</v>
      </c>
      <c r="I38" s="24">
        <v>11.6</v>
      </c>
    </row>
    <row r="39" spans="1:9" ht="15" x14ac:dyDescent="0.25">
      <c r="A39" s="8">
        <v>888</v>
      </c>
      <c r="B39" s="3" t="s">
        <v>48</v>
      </c>
      <c r="C39" s="21">
        <v>0</v>
      </c>
      <c r="D39" s="20">
        <v>0</v>
      </c>
      <c r="I39" s="24">
        <v>5.3</v>
      </c>
    </row>
    <row r="40" spans="1:9" ht="15.6" thickBot="1" x14ac:dyDescent="0.3">
      <c r="A40" s="9">
        <v>888</v>
      </c>
      <c r="B40" s="10" t="s">
        <v>7</v>
      </c>
      <c r="C40" s="11">
        <f>SUM(C36:C39)</f>
        <v>23</v>
      </c>
      <c r="D40" s="12">
        <f>F36/C40</f>
        <v>11.295652173913044</v>
      </c>
      <c r="I40" s="24">
        <v>2.5</v>
      </c>
    </row>
    <row r="41" spans="1:9" ht="15" x14ac:dyDescent="0.25">
      <c r="A41" s="5">
        <v>889</v>
      </c>
      <c r="B41" s="6" t="s">
        <v>25</v>
      </c>
      <c r="C41" s="18">
        <v>27</v>
      </c>
      <c r="D41" s="19">
        <v>4.0999999999999996</v>
      </c>
      <c r="F41" s="2">
        <f>(C41*D41)+(C42*D42)+(C43*D43)+(C44*D44)+(C45*D45)</f>
        <v>156.69999999999999</v>
      </c>
      <c r="I41" s="24">
        <v>5</v>
      </c>
    </row>
    <row r="42" spans="1:9" ht="15" x14ac:dyDescent="0.25">
      <c r="A42" s="8">
        <v>889</v>
      </c>
      <c r="B42" s="3" t="s">
        <v>26</v>
      </c>
      <c r="C42" s="21">
        <v>6</v>
      </c>
      <c r="D42" s="20">
        <v>0.5</v>
      </c>
      <c r="I42" s="24">
        <v>4</v>
      </c>
    </row>
    <row r="43" spans="1:9" ht="15" x14ac:dyDescent="0.25">
      <c r="A43" s="8">
        <v>889</v>
      </c>
      <c r="B43" s="3" t="s">
        <v>27</v>
      </c>
      <c r="C43" s="21">
        <v>0</v>
      </c>
      <c r="D43" s="20">
        <v>0</v>
      </c>
      <c r="I43" s="24">
        <v>3.9</v>
      </c>
    </row>
    <row r="44" spans="1:9" ht="15" x14ac:dyDescent="0.25">
      <c r="A44" s="8">
        <v>889</v>
      </c>
      <c r="B44" s="3" t="s">
        <v>28</v>
      </c>
      <c r="C44" s="21">
        <v>2</v>
      </c>
      <c r="D44" s="20">
        <v>7.5</v>
      </c>
      <c r="I44" s="24">
        <v>11.3</v>
      </c>
    </row>
    <row r="45" spans="1:9" ht="15" x14ac:dyDescent="0.25">
      <c r="A45" s="8">
        <v>889</v>
      </c>
      <c r="B45" s="3" t="s">
        <v>87</v>
      </c>
      <c r="C45" s="4">
        <v>4</v>
      </c>
      <c r="D45" s="33">
        <v>7</v>
      </c>
      <c r="I45" s="24">
        <v>4</v>
      </c>
    </row>
    <row r="46" spans="1:9" ht="15.6" thickBot="1" x14ac:dyDescent="0.3">
      <c r="A46" s="9">
        <v>889</v>
      </c>
      <c r="B46" s="10" t="s">
        <v>7</v>
      </c>
      <c r="C46" s="11">
        <f>SUM(C41:C45)</f>
        <v>39</v>
      </c>
      <c r="D46" s="12">
        <f>F41/C46</f>
        <v>4.0179487179487179</v>
      </c>
      <c r="I46" s="24">
        <v>3.5</v>
      </c>
    </row>
    <row r="47" spans="1:9" ht="15" x14ac:dyDescent="0.25">
      <c r="A47" s="5">
        <v>890</v>
      </c>
      <c r="B47" s="6" t="s">
        <v>29</v>
      </c>
      <c r="C47" s="18">
        <v>31</v>
      </c>
      <c r="D47" s="19">
        <v>3.5</v>
      </c>
      <c r="F47" s="2">
        <f>(C47*D47)+(C48*D48)</f>
        <v>108.5</v>
      </c>
      <c r="I47" s="24">
        <v>8.6</v>
      </c>
    </row>
    <row r="48" spans="1:9" ht="15" x14ac:dyDescent="0.25">
      <c r="A48" s="8">
        <v>890</v>
      </c>
      <c r="B48" s="3" t="s">
        <v>30</v>
      </c>
      <c r="C48" s="21">
        <v>0</v>
      </c>
      <c r="D48" s="20">
        <v>0</v>
      </c>
      <c r="I48" s="24">
        <v>4.5999999999999996</v>
      </c>
    </row>
    <row r="49" spans="1:9" ht="15.6" thickBot="1" x14ac:dyDescent="0.3">
      <c r="A49" s="9">
        <v>890</v>
      </c>
      <c r="B49" s="10" t="s">
        <v>7</v>
      </c>
      <c r="C49" s="11">
        <f>SUM(C47:C48)</f>
        <v>31</v>
      </c>
      <c r="D49" s="12">
        <f>F47/C49</f>
        <v>3.5</v>
      </c>
      <c r="I49" s="24">
        <v>1.8</v>
      </c>
    </row>
    <row r="50" spans="1:9" ht="15" x14ac:dyDescent="0.25">
      <c r="A50" s="5">
        <v>891</v>
      </c>
      <c r="B50" s="6" t="s">
        <v>31</v>
      </c>
      <c r="C50" s="7">
        <v>1</v>
      </c>
      <c r="D50" s="14">
        <v>0</v>
      </c>
      <c r="F50" s="2">
        <f>(C50*D50)+(C51*D51)+(C52*D52)</f>
        <v>300.8</v>
      </c>
      <c r="I50" s="24">
        <v>1.9</v>
      </c>
    </row>
    <row r="51" spans="1:9" ht="15" x14ac:dyDescent="0.25">
      <c r="A51" s="8">
        <v>891</v>
      </c>
      <c r="B51" s="3" t="s">
        <v>32</v>
      </c>
      <c r="C51" s="21">
        <v>18</v>
      </c>
      <c r="D51" s="20">
        <v>6.4</v>
      </c>
      <c r="I51" s="24">
        <v>26.7</v>
      </c>
    </row>
    <row r="52" spans="1:9" ht="15" x14ac:dyDescent="0.25">
      <c r="A52" s="8">
        <v>891</v>
      </c>
      <c r="B52" s="3" t="s">
        <v>33</v>
      </c>
      <c r="C52" s="21">
        <v>16</v>
      </c>
      <c r="D52" s="20">
        <v>11.6</v>
      </c>
      <c r="I52" s="24">
        <v>5.0999999999999996</v>
      </c>
    </row>
    <row r="53" spans="1:9" ht="15.6" thickBot="1" x14ac:dyDescent="0.3">
      <c r="A53" s="9">
        <v>891</v>
      </c>
      <c r="B53" s="10" t="s">
        <v>7</v>
      </c>
      <c r="C53" s="11">
        <f>SUM(C50:C52)</f>
        <v>35</v>
      </c>
      <c r="D53" s="12">
        <f>F50/C53</f>
        <v>8.5942857142857143</v>
      </c>
      <c r="I53" s="24">
        <v>0.1</v>
      </c>
    </row>
    <row r="54" spans="1:9" ht="15" x14ac:dyDescent="0.25">
      <c r="A54" s="5">
        <v>892</v>
      </c>
      <c r="B54" s="6" t="s">
        <v>34</v>
      </c>
      <c r="C54" s="18">
        <v>48</v>
      </c>
      <c r="D54" s="19">
        <v>5</v>
      </c>
      <c r="F54" s="2">
        <f>(C54*D54)+(C55*D55)</f>
        <v>243</v>
      </c>
      <c r="I54" s="44">
        <v>2.5</v>
      </c>
    </row>
    <row r="55" spans="1:9" ht="15" x14ac:dyDescent="0.25">
      <c r="A55" s="8">
        <v>892</v>
      </c>
      <c r="B55" s="3" t="s">
        <v>49</v>
      </c>
      <c r="C55" s="21">
        <v>5</v>
      </c>
      <c r="D55" s="20">
        <v>0.6</v>
      </c>
      <c r="I55" s="44">
        <v>3.6</v>
      </c>
    </row>
    <row r="56" spans="1:9" ht="15.6" thickBot="1" x14ac:dyDescent="0.3">
      <c r="A56" s="9">
        <v>892</v>
      </c>
      <c r="B56" s="10" t="s">
        <v>7</v>
      </c>
      <c r="C56" s="11">
        <f>SUM(C54:C55)</f>
        <v>53</v>
      </c>
      <c r="D56" s="12">
        <f>F54/C56</f>
        <v>4.5849056603773581</v>
      </c>
      <c r="I56" s="43">
        <f>SUM(I34:I55)/22</f>
        <v>5.7181818181818169</v>
      </c>
    </row>
    <row r="57" spans="1:9" ht="15" x14ac:dyDescent="0.25">
      <c r="A57" s="5">
        <v>893</v>
      </c>
      <c r="B57" s="6" t="s">
        <v>35</v>
      </c>
      <c r="C57" s="18">
        <v>33</v>
      </c>
      <c r="D57" s="19">
        <v>1.9</v>
      </c>
      <c r="F57" s="2">
        <f>(C57*D57)+(C59*D59)</f>
        <v>68.699999999999989</v>
      </c>
      <c r="I57" s="24"/>
    </row>
    <row r="58" spans="1:9" ht="15" x14ac:dyDescent="0.25">
      <c r="A58" s="8">
        <v>893</v>
      </c>
      <c r="B58" s="3" t="s">
        <v>50</v>
      </c>
      <c r="C58" s="21">
        <v>1</v>
      </c>
      <c r="D58" s="20">
        <v>9</v>
      </c>
      <c r="I58" s="24"/>
    </row>
    <row r="59" spans="1:9" ht="15" x14ac:dyDescent="0.25">
      <c r="A59" s="8">
        <v>893</v>
      </c>
      <c r="B59" s="3" t="s">
        <v>36</v>
      </c>
      <c r="C59" s="21">
        <v>5</v>
      </c>
      <c r="D59" s="20">
        <v>1.2</v>
      </c>
      <c r="I59" s="24"/>
    </row>
    <row r="60" spans="1:9" ht="15.6" thickBot="1" x14ac:dyDescent="0.3">
      <c r="A60" s="9">
        <v>893</v>
      </c>
      <c r="B60" s="10" t="s">
        <v>7</v>
      </c>
      <c r="C60" s="11">
        <f>SUM(C57:C59)</f>
        <v>39</v>
      </c>
      <c r="D60" s="12">
        <f>F57/C60</f>
        <v>1.7615384615384613</v>
      </c>
      <c r="I60" s="24"/>
    </row>
    <row r="61" spans="1:9" ht="15" x14ac:dyDescent="0.25">
      <c r="A61" s="5">
        <v>894</v>
      </c>
      <c r="B61" s="6" t="s">
        <v>37</v>
      </c>
      <c r="C61" s="18">
        <v>22</v>
      </c>
      <c r="D61" s="19">
        <v>2.1</v>
      </c>
      <c r="F61" s="2">
        <f>(C61*D61)+(C63*D63)+(C62*D62)</f>
        <v>50.2</v>
      </c>
      <c r="I61" s="24"/>
    </row>
    <row r="62" spans="1:9" ht="15" x14ac:dyDescent="0.25">
      <c r="A62" s="8">
        <v>894</v>
      </c>
      <c r="B62" s="3" t="s">
        <v>101</v>
      </c>
      <c r="C62" s="4">
        <v>3</v>
      </c>
      <c r="D62" s="33">
        <v>1</v>
      </c>
      <c r="I62" s="24"/>
    </row>
    <row r="63" spans="1:9" ht="15" x14ac:dyDescent="0.25">
      <c r="A63" s="8">
        <v>894</v>
      </c>
      <c r="B63" s="3" t="s">
        <v>38</v>
      </c>
      <c r="C63" s="4">
        <v>2</v>
      </c>
      <c r="D63" s="15">
        <v>0.5</v>
      </c>
      <c r="I63" s="44"/>
    </row>
    <row r="64" spans="1:9" ht="15.6" thickBot="1" x14ac:dyDescent="0.3">
      <c r="A64" s="9">
        <v>894</v>
      </c>
      <c r="B64" s="10" t="s">
        <v>7</v>
      </c>
      <c r="C64" s="11">
        <f>SUM(C61:C63)</f>
        <v>27</v>
      </c>
      <c r="D64" s="12">
        <f>F61/C64</f>
        <v>1.8592592592592594</v>
      </c>
      <c r="I64" s="43"/>
    </row>
    <row r="65" spans="1:6" ht="15" x14ac:dyDescent="0.25">
      <c r="A65" s="5">
        <v>895</v>
      </c>
      <c r="B65" s="6" t="s">
        <v>39</v>
      </c>
      <c r="C65" s="7">
        <v>1</v>
      </c>
      <c r="D65" s="14">
        <v>216</v>
      </c>
      <c r="F65" s="2">
        <f>(C65*D65)+(C66*D66)</f>
        <v>1841.1999999999998</v>
      </c>
    </row>
    <row r="66" spans="1:6" ht="15" x14ac:dyDescent="0.25">
      <c r="A66" s="8">
        <v>895</v>
      </c>
      <c r="B66" s="3" t="s">
        <v>40</v>
      </c>
      <c r="C66" s="21">
        <v>68</v>
      </c>
      <c r="D66" s="20">
        <v>23.9</v>
      </c>
    </row>
    <row r="67" spans="1:6" ht="15.6" thickBot="1" x14ac:dyDescent="0.3">
      <c r="A67" s="9">
        <v>895</v>
      </c>
      <c r="B67" s="10" t="s">
        <v>7</v>
      </c>
      <c r="C67" s="11">
        <f>SUM(C65:C66)</f>
        <v>69</v>
      </c>
      <c r="D67" s="12">
        <f>F65/C67</f>
        <v>26.684057971014489</v>
      </c>
    </row>
    <row r="68" spans="1:6" ht="15" x14ac:dyDescent="0.25">
      <c r="A68" s="5">
        <v>896</v>
      </c>
      <c r="B68" s="6" t="s">
        <v>41</v>
      </c>
      <c r="C68" s="18">
        <v>18</v>
      </c>
      <c r="D68" s="19">
        <v>5.0999999999999996</v>
      </c>
    </row>
    <row r="69" spans="1:6" ht="15.6" thickBot="1" x14ac:dyDescent="0.3">
      <c r="A69" s="9">
        <v>896</v>
      </c>
      <c r="B69" s="10" t="s">
        <v>7</v>
      </c>
      <c r="C69" s="10">
        <v>18</v>
      </c>
      <c r="D69" s="12">
        <v>5.0999999999999996</v>
      </c>
    </row>
    <row r="70" spans="1:6" ht="15" x14ac:dyDescent="0.25">
      <c r="A70" s="5">
        <v>897</v>
      </c>
      <c r="B70" s="6" t="s">
        <v>42</v>
      </c>
      <c r="C70" s="7">
        <v>1</v>
      </c>
      <c r="D70" s="14">
        <v>0</v>
      </c>
      <c r="F70" s="2">
        <f>(C70*D70)+(C71*D71)</f>
        <v>3.1</v>
      </c>
    </row>
    <row r="71" spans="1:6" ht="15" x14ac:dyDescent="0.25">
      <c r="A71" s="8">
        <v>897</v>
      </c>
      <c r="B71" s="3" t="s">
        <v>43</v>
      </c>
      <c r="C71" s="21">
        <v>31</v>
      </c>
      <c r="D71" s="20">
        <v>0.1</v>
      </c>
    </row>
    <row r="72" spans="1:6" ht="15.6" thickBot="1" x14ac:dyDescent="0.3">
      <c r="A72" s="9">
        <v>897</v>
      </c>
      <c r="B72" s="10" t="s">
        <v>7</v>
      </c>
      <c r="C72" s="11">
        <f>SUM(C70:C71)</f>
        <v>32</v>
      </c>
      <c r="D72" s="12">
        <f>F70/C72</f>
        <v>9.6875000000000003E-2</v>
      </c>
    </row>
    <row r="73" spans="1:6" ht="15" x14ac:dyDescent="0.25">
      <c r="A73" s="5">
        <v>898</v>
      </c>
      <c r="B73" s="6" t="s">
        <v>44</v>
      </c>
      <c r="C73" s="18">
        <v>0</v>
      </c>
      <c r="D73" s="19">
        <v>0</v>
      </c>
      <c r="F73" s="2">
        <f>(C73*D73)+(C74*D74)</f>
        <v>50</v>
      </c>
    </row>
    <row r="74" spans="1:6" ht="15" x14ac:dyDescent="0.25">
      <c r="A74" s="8">
        <v>898</v>
      </c>
      <c r="B74" s="3" t="s">
        <v>45</v>
      </c>
      <c r="C74" s="21">
        <v>20</v>
      </c>
      <c r="D74" s="20">
        <v>2.5</v>
      </c>
    </row>
    <row r="75" spans="1:6" ht="15.6" thickBot="1" x14ac:dyDescent="0.3">
      <c r="A75" s="9">
        <v>898</v>
      </c>
      <c r="B75" s="10" t="s">
        <v>7</v>
      </c>
      <c r="C75" s="11">
        <f>SUM(C73:C74)</f>
        <v>20</v>
      </c>
      <c r="D75" s="12">
        <f>F73/C75</f>
        <v>2.5</v>
      </c>
    </row>
    <row r="76" spans="1:6" ht="15" x14ac:dyDescent="0.25">
      <c r="A76" s="5">
        <v>899</v>
      </c>
      <c r="B76" s="6" t="s">
        <v>46</v>
      </c>
      <c r="C76" s="18">
        <v>12</v>
      </c>
      <c r="D76" s="19">
        <v>3.6</v>
      </c>
      <c r="F76" s="2">
        <f>(C76*D76)+(C77*D77)</f>
        <v>43.2</v>
      </c>
    </row>
    <row r="77" spans="1:6" ht="15" x14ac:dyDescent="0.25">
      <c r="A77" s="8">
        <v>899</v>
      </c>
      <c r="B77" s="3" t="s">
        <v>47</v>
      </c>
      <c r="C77" s="4">
        <v>0</v>
      </c>
      <c r="D77" s="15">
        <v>0</v>
      </c>
    </row>
    <row r="78" spans="1:6" ht="15.6" thickBot="1" x14ac:dyDescent="0.3">
      <c r="A78" s="9">
        <v>899</v>
      </c>
      <c r="B78" s="10" t="s">
        <v>7</v>
      </c>
      <c r="C78" s="11">
        <f>SUM(C76:C77)</f>
        <v>12</v>
      </c>
      <c r="D78" s="12">
        <f>F76/C78</f>
        <v>3.6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3F1D2-9D62-489A-BDCE-068A835128D5}">
  <dimension ref="A2:I79"/>
  <sheetViews>
    <sheetView topLeftCell="A31" workbookViewId="0">
      <selection activeCell="I35" sqref="I35:I56"/>
    </sheetView>
  </sheetViews>
  <sheetFormatPr defaultColWidth="9.109375" defaultRowHeight="13.2" x14ac:dyDescent="0.25"/>
  <cols>
    <col min="1" max="2" width="12.6640625" style="2" customWidth="1"/>
    <col min="3" max="3" width="8.5546875" style="2" customWidth="1"/>
    <col min="4" max="4" width="19.109375" style="16" customWidth="1"/>
    <col min="5" max="7" width="10.44140625" style="2" customWidth="1"/>
    <col min="8" max="16384" width="9.109375" style="2"/>
  </cols>
  <sheetData>
    <row r="2" spans="1:6" ht="16.2" thickBot="1" x14ac:dyDescent="0.3">
      <c r="A2" s="1" t="s">
        <v>0</v>
      </c>
      <c r="B2" s="1" t="s">
        <v>1</v>
      </c>
      <c r="C2" s="1" t="s">
        <v>2</v>
      </c>
      <c r="D2" s="13" t="s">
        <v>3</v>
      </c>
    </row>
    <row r="3" spans="1:6" ht="15" x14ac:dyDescent="0.25">
      <c r="A3" s="47">
        <v>877</v>
      </c>
      <c r="B3" s="36" t="s">
        <v>98</v>
      </c>
      <c r="C3" s="36">
        <v>27</v>
      </c>
      <c r="D3" s="40">
        <v>6.2</v>
      </c>
      <c r="F3" s="2">
        <f>(C3*D3)+(C4*D4)</f>
        <v>167.4</v>
      </c>
    </row>
    <row r="4" spans="1:6" ht="15" x14ac:dyDescent="0.25">
      <c r="A4" s="54">
        <v>877</v>
      </c>
      <c r="B4" s="27" t="s">
        <v>100</v>
      </c>
      <c r="C4" s="27">
        <v>0</v>
      </c>
      <c r="D4" s="49">
        <v>0</v>
      </c>
    </row>
    <row r="5" spans="1:6" ht="16.2" thickBot="1" x14ac:dyDescent="0.3">
      <c r="A5" s="9">
        <v>877</v>
      </c>
      <c r="B5" s="42"/>
      <c r="C5" s="10">
        <f>SUM(C3:C4)</f>
        <v>27</v>
      </c>
      <c r="D5" s="12">
        <f>F3/C5</f>
        <v>6.2</v>
      </c>
    </row>
    <row r="6" spans="1:6" ht="15" x14ac:dyDescent="0.25">
      <c r="A6" s="39" t="s">
        <v>95</v>
      </c>
      <c r="B6" s="36" t="s">
        <v>88</v>
      </c>
      <c r="C6" s="36">
        <v>22</v>
      </c>
      <c r="D6" s="40">
        <v>0</v>
      </c>
      <c r="F6" s="16"/>
    </row>
    <row r="7" spans="1:6" ht="15" x14ac:dyDescent="0.25">
      <c r="A7" s="50" t="s">
        <v>95</v>
      </c>
      <c r="B7" s="27" t="s">
        <v>99</v>
      </c>
      <c r="C7" s="27">
        <v>1</v>
      </c>
      <c r="D7" s="49">
        <v>0</v>
      </c>
      <c r="F7" s="16"/>
    </row>
    <row r="8" spans="1:6" ht="16.2" thickBot="1" x14ac:dyDescent="0.3">
      <c r="A8" s="41"/>
      <c r="B8" s="42"/>
      <c r="C8" s="10">
        <f>SUM(C6:C7)</f>
        <v>23</v>
      </c>
      <c r="D8" s="12">
        <v>0</v>
      </c>
      <c r="F8" s="16"/>
    </row>
    <row r="9" spans="1:6" ht="15" x14ac:dyDescent="0.25">
      <c r="A9" s="17" t="s">
        <v>96</v>
      </c>
      <c r="B9" s="6" t="s">
        <v>4</v>
      </c>
      <c r="C9" s="18">
        <v>23</v>
      </c>
      <c r="D9" s="19">
        <v>6.1</v>
      </c>
      <c r="F9" s="2">
        <f>(C9*D9)+(C10*D10)+(C11*D11)</f>
        <v>343.7</v>
      </c>
    </row>
    <row r="10" spans="1:6" ht="15" x14ac:dyDescent="0.25">
      <c r="A10" s="8">
        <v>879</v>
      </c>
      <c r="B10" s="3" t="s">
        <v>5</v>
      </c>
      <c r="C10" s="21">
        <v>8</v>
      </c>
      <c r="D10" s="20">
        <v>4.3</v>
      </c>
    </row>
    <row r="11" spans="1:6" ht="15" x14ac:dyDescent="0.25">
      <c r="A11" s="8">
        <v>879</v>
      </c>
      <c r="B11" s="3" t="s">
        <v>6</v>
      </c>
      <c r="C11" s="21">
        <v>13</v>
      </c>
      <c r="D11" s="20">
        <v>13</v>
      </c>
    </row>
    <row r="12" spans="1:6" ht="15.6" thickBot="1" x14ac:dyDescent="0.3">
      <c r="A12" s="9">
        <v>879</v>
      </c>
      <c r="B12" s="10" t="s">
        <v>7</v>
      </c>
      <c r="C12" s="11">
        <f>SUM(C9:C11)</f>
        <v>44</v>
      </c>
      <c r="D12" s="12">
        <f>F9/C12</f>
        <v>7.8113636363636365</v>
      </c>
    </row>
    <row r="13" spans="1:6" ht="15" x14ac:dyDescent="0.25">
      <c r="A13" s="5">
        <v>880</v>
      </c>
      <c r="B13" s="6" t="s">
        <v>8</v>
      </c>
      <c r="C13" s="18">
        <v>2</v>
      </c>
      <c r="D13" s="19">
        <v>43.5</v>
      </c>
      <c r="F13" s="2">
        <f>(C13*D13)+(C15*D15)+(C14*D14)</f>
        <v>250.2</v>
      </c>
    </row>
    <row r="14" spans="1:6" ht="15" x14ac:dyDescent="0.25">
      <c r="A14" s="8">
        <v>880</v>
      </c>
      <c r="B14" s="3" t="s">
        <v>92</v>
      </c>
      <c r="C14" s="34">
        <v>0</v>
      </c>
      <c r="D14" s="35">
        <v>0</v>
      </c>
    </row>
    <row r="15" spans="1:6" ht="15" x14ac:dyDescent="0.25">
      <c r="A15" s="8">
        <v>880</v>
      </c>
      <c r="B15" s="3" t="s">
        <v>9</v>
      </c>
      <c r="C15" s="21">
        <v>24</v>
      </c>
      <c r="D15" s="20">
        <v>6.8</v>
      </c>
    </row>
    <row r="16" spans="1:6" ht="15.6" thickBot="1" x14ac:dyDescent="0.3">
      <c r="A16" s="9">
        <v>880</v>
      </c>
      <c r="B16" s="10" t="s">
        <v>7</v>
      </c>
      <c r="C16" s="11">
        <f>SUM(C13:C15)</f>
        <v>26</v>
      </c>
      <c r="D16" s="12">
        <f>F13/C16</f>
        <v>9.6230769230769226</v>
      </c>
    </row>
    <row r="17" spans="1:6" ht="15" x14ac:dyDescent="0.25">
      <c r="A17" s="5">
        <v>881</v>
      </c>
      <c r="B17" s="6" t="s">
        <v>10</v>
      </c>
      <c r="C17" s="18">
        <v>0</v>
      </c>
      <c r="D17" s="19">
        <v>0</v>
      </c>
      <c r="F17" s="2">
        <f>(C17*D17)+(C18*D18)+(C19*D19)</f>
        <v>313</v>
      </c>
    </row>
    <row r="18" spans="1:6" ht="15" x14ac:dyDescent="0.25">
      <c r="A18" s="8">
        <v>881</v>
      </c>
      <c r="B18" s="3" t="s">
        <v>12</v>
      </c>
      <c r="C18" s="21">
        <v>40</v>
      </c>
      <c r="D18" s="20">
        <v>7.6</v>
      </c>
    </row>
    <row r="19" spans="1:6" ht="15" x14ac:dyDescent="0.25">
      <c r="A19" s="8">
        <v>881</v>
      </c>
      <c r="B19" s="3" t="s">
        <v>11</v>
      </c>
      <c r="C19" s="21">
        <v>2</v>
      </c>
      <c r="D19" s="20">
        <v>4.5</v>
      </c>
    </row>
    <row r="20" spans="1:6" ht="15.6" thickBot="1" x14ac:dyDescent="0.3">
      <c r="A20" s="9">
        <v>881</v>
      </c>
      <c r="B20" s="10" t="s">
        <v>7</v>
      </c>
      <c r="C20" s="11">
        <f>SUM(C17:C19)</f>
        <v>42</v>
      </c>
      <c r="D20" s="12">
        <f>F17/C20</f>
        <v>7.4523809523809526</v>
      </c>
    </row>
    <row r="21" spans="1:6" ht="15" x14ac:dyDescent="0.25">
      <c r="A21" s="5">
        <v>882</v>
      </c>
      <c r="B21" s="6" t="s">
        <v>13</v>
      </c>
      <c r="C21" s="18">
        <v>53</v>
      </c>
      <c r="D21" s="19">
        <v>3.9</v>
      </c>
      <c r="F21" s="2">
        <f>(C21*D21)+(C22*D22)</f>
        <v>206.7</v>
      </c>
    </row>
    <row r="22" spans="1:6" ht="15" x14ac:dyDescent="0.25">
      <c r="A22" s="8">
        <v>882</v>
      </c>
      <c r="B22" s="3" t="s">
        <v>14</v>
      </c>
      <c r="C22" s="21">
        <v>1</v>
      </c>
      <c r="D22" s="20">
        <v>0</v>
      </c>
    </row>
    <row r="23" spans="1:6" ht="15.6" thickBot="1" x14ac:dyDescent="0.3">
      <c r="A23" s="9">
        <v>882</v>
      </c>
      <c r="B23" s="10" t="s">
        <v>7</v>
      </c>
      <c r="C23" s="11">
        <f>SUM(C21:C22)</f>
        <v>54</v>
      </c>
      <c r="D23" s="12">
        <f>F21/C23</f>
        <v>3.8277777777777775</v>
      </c>
    </row>
    <row r="24" spans="1:6" ht="15" x14ac:dyDescent="0.25">
      <c r="A24" s="5">
        <v>884</v>
      </c>
      <c r="B24" s="6" t="s">
        <v>15</v>
      </c>
      <c r="C24" s="18">
        <v>1</v>
      </c>
      <c r="D24" s="19">
        <v>0</v>
      </c>
      <c r="F24" s="2">
        <f>(C24*D24)+(C25*D25)+(C26*D26)</f>
        <v>1.4000000000000001</v>
      </c>
    </row>
    <row r="25" spans="1:6" ht="15" x14ac:dyDescent="0.25">
      <c r="A25" s="8">
        <v>884</v>
      </c>
      <c r="B25" s="3" t="s">
        <v>16</v>
      </c>
      <c r="C25" s="21">
        <v>3</v>
      </c>
      <c r="D25" s="20">
        <v>0</v>
      </c>
    </row>
    <row r="26" spans="1:6" ht="15" x14ac:dyDescent="0.25">
      <c r="A26" s="8">
        <v>884</v>
      </c>
      <c r="B26" s="3" t="s">
        <v>17</v>
      </c>
      <c r="C26" s="21">
        <v>14</v>
      </c>
      <c r="D26" s="20">
        <v>0.1</v>
      </c>
    </row>
    <row r="27" spans="1:6" ht="15.6" thickBot="1" x14ac:dyDescent="0.3">
      <c r="A27" s="9">
        <v>884</v>
      </c>
      <c r="B27" s="10" t="s">
        <v>7</v>
      </c>
      <c r="C27" s="11">
        <f>SUM(C24:C26)</f>
        <v>18</v>
      </c>
      <c r="D27" s="12">
        <f>F24/C27</f>
        <v>7.7777777777777779E-2</v>
      </c>
    </row>
    <row r="28" spans="1:6" ht="15" x14ac:dyDescent="0.25">
      <c r="A28" s="29" t="s">
        <v>97</v>
      </c>
      <c r="B28" s="27" t="s">
        <v>64</v>
      </c>
      <c r="C28" s="28">
        <v>19</v>
      </c>
      <c r="D28" s="32">
        <v>3.2</v>
      </c>
      <c r="F28" s="2">
        <f>(C28*D28)+(C29*D29)</f>
        <v>60.800000000000004</v>
      </c>
    </row>
    <row r="29" spans="1:6" ht="15" x14ac:dyDescent="0.25">
      <c r="A29" s="29" t="s">
        <v>97</v>
      </c>
      <c r="B29" s="27" t="s">
        <v>91</v>
      </c>
      <c r="C29" s="28">
        <v>1</v>
      </c>
      <c r="D29" s="32">
        <v>0</v>
      </c>
    </row>
    <row r="30" spans="1:6" ht="15.6" thickBot="1" x14ac:dyDescent="0.3">
      <c r="A30" s="30" t="s">
        <v>97</v>
      </c>
      <c r="B30" s="25"/>
      <c r="C30" s="26">
        <f>SUM(C28:C29)</f>
        <v>20</v>
      </c>
      <c r="D30" s="12">
        <f>F28/C30</f>
        <v>3.04</v>
      </c>
    </row>
    <row r="31" spans="1:6" ht="15" x14ac:dyDescent="0.25">
      <c r="A31" s="5">
        <v>886</v>
      </c>
      <c r="B31" s="6" t="s">
        <v>18</v>
      </c>
      <c r="C31" s="18">
        <v>27</v>
      </c>
      <c r="D31" s="19">
        <v>2.7</v>
      </c>
      <c r="F31" s="2">
        <f>(C31*D31)+(C33*D33)+(C32*D32)</f>
        <v>72.900000000000006</v>
      </c>
    </row>
    <row r="32" spans="1:6" ht="15" x14ac:dyDescent="0.25">
      <c r="A32" s="8">
        <v>886</v>
      </c>
      <c r="B32" s="3" t="s">
        <v>90</v>
      </c>
      <c r="C32" s="4">
        <v>0</v>
      </c>
      <c r="D32" s="33">
        <v>0</v>
      </c>
    </row>
    <row r="33" spans="1:9" ht="15" x14ac:dyDescent="0.25">
      <c r="A33" s="8">
        <v>886</v>
      </c>
      <c r="B33" s="3" t="s">
        <v>19</v>
      </c>
      <c r="C33" s="4">
        <v>1</v>
      </c>
      <c r="D33" s="15">
        <v>0</v>
      </c>
    </row>
    <row r="34" spans="1:9" ht="15.6" thickBot="1" x14ac:dyDescent="0.3">
      <c r="A34" s="9">
        <v>886</v>
      </c>
      <c r="B34" s="10" t="s">
        <v>7</v>
      </c>
      <c r="C34" s="11">
        <f>SUM(C31:C33)</f>
        <v>28</v>
      </c>
      <c r="D34" s="12">
        <f>F31/C34</f>
        <v>2.6035714285714286</v>
      </c>
    </row>
    <row r="35" spans="1:9" ht="15" x14ac:dyDescent="0.25">
      <c r="A35" s="5">
        <v>887</v>
      </c>
      <c r="B35" s="6" t="s">
        <v>20</v>
      </c>
      <c r="C35" s="7">
        <v>0</v>
      </c>
      <c r="D35" s="14">
        <v>0</v>
      </c>
      <c r="F35" s="2">
        <f>(C35*D35)+(C36*D36)</f>
        <v>20.8</v>
      </c>
      <c r="I35" s="2">
        <v>6.2</v>
      </c>
    </row>
    <row r="36" spans="1:9" ht="15" x14ac:dyDescent="0.25">
      <c r="A36" s="8">
        <v>887</v>
      </c>
      <c r="B36" s="3" t="s">
        <v>21</v>
      </c>
      <c r="C36" s="21">
        <v>16</v>
      </c>
      <c r="D36" s="20">
        <v>1.3</v>
      </c>
      <c r="I36" s="2">
        <v>0</v>
      </c>
    </row>
    <row r="37" spans="1:9" ht="15.6" thickBot="1" x14ac:dyDescent="0.3">
      <c r="A37" s="9">
        <v>887</v>
      </c>
      <c r="B37" s="10" t="s">
        <v>7</v>
      </c>
      <c r="C37" s="11">
        <f>SUM(C35:C36)</f>
        <v>16</v>
      </c>
      <c r="D37" s="12">
        <f>F35/C37</f>
        <v>1.3</v>
      </c>
      <c r="I37" s="2">
        <v>7.8</v>
      </c>
    </row>
    <row r="38" spans="1:9" ht="15" x14ac:dyDescent="0.25">
      <c r="A38" s="5">
        <v>888</v>
      </c>
      <c r="B38" s="6" t="s">
        <v>22</v>
      </c>
      <c r="C38" s="18">
        <v>0</v>
      </c>
      <c r="D38" s="19">
        <v>0</v>
      </c>
      <c r="F38" s="2">
        <f>(C38*D38)+(C39*D39)+(C40*D40)+(C41*D41)</f>
        <v>136</v>
      </c>
      <c r="I38" s="2">
        <v>9.6</v>
      </c>
    </row>
    <row r="39" spans="1:9" ht="15" x14ac:dyDescent="0.25">
      <c r="A39" s="8">
        <v>888</v>
      </c>
      <c r="B39" s="3" t="s">
        <v>23</v>
      </c>
      <c r="C39" s="4">
        <v>0</v>
      </c>
      <c r="D39" s="15">
        <v>0</v>
      </c>
      <c r="I39" s="24">
        <v>7.5</v>
      </c>
    </row>
    <row r="40" spans="1:9" ht="15" x14ac:dyDescent="0.25">
      <c r="A40" s="8">
        <v>888</v>
      </c>
      <c r="B40" s="3" t="s">
        <v>24</v>
      </c>
      <c r="C40" s="21">
        <v>16</v>
      </c>
      <c r="D40" s="20">
        <v>8.5</v>
      </c>
      <c r="I40" s="24">
        <v>3.8</v>
      </c>
    </row>
    <row r="41" spans="1:9" ht="15" x14ac:dyDescent="0.25">
      <c r="A41" s="8">
        <v>888</v>
      </c>
      <c r="B41" s="3" t="s">
        <v>48</v>
      </c>
      <c r="C41" s="21">
        <v>0</v>
      </c>
      <c r="D41" s="20">
        <v>0</v>
      </c>
      <c r="I41" s="24">
        <v>0.1</v>
      </c>
    </row>
    <row r="42" spans="1:9" ht="15.6" thickBot="1" x14ac:dyDescent="0.3">
      <c r="A42" s="9">
        <v>888</v>
      </c>
      <c r="B42" s="10" t="s">
        <v>7</v>
      </c>
      <c r="C42" s="11">
        <f>SUM(C38:C41)</f>
        <v>16</v>
      </c>
      <c r="D42" s="12">
        <f>F38/C42</f>
        <v>8.5</v>
      </c>
      <c r="I42" s="24">
        <v>3</v>
      </c>
    </row>
    <row r="43" spans="1:9" ht="15" x14ac:dyDescent="0.25">
      <c r="A43" s="5">
        <v>889</v>
      </c>
      <c r="B43" s="6" t="s">
        <v>25</v>
      </c>
      <c r="C43" s="18">
        <v>15</v>
      </c>
      <c r="D43" s="19">
        <v>2.8</v>
      </c>
      <c r="F43" s="2">
        <f>(C43*D43)+(C44*D44)+(C45*D45)+(C46*D46)+(C47*D47)</f>
        <v>55.5</v>
      </c>
      <c r="I43" s="24">
        <v>2.6</v>
      </c>
    </row>
    <row r="44" spans="1:9" ht="15" x14ac:dyDescent="0.25">
      <c r="A44" s="8">
        <v>889</v>
      </c>
      <c r="B44" s="3" t="s">
        <v>26</v>
      </c>
      <c r="C44" s="21">
        <v>9</v>
      </c>
      <c r="D44" s="20">
        <v>1.5</v>
      </c>
      <c r="I44" s="24">
        <v>1.3</v>
      </c>
    </row>
    <row r="45" spans="1:9" ht="15" x14ac:dyDescent="0.25">
      <c r="A45" s="8">
        <v>889</v>
      </c>
      <c r="B45" s="3" t="s">
        <v>27</v>
      </c>
      <c r="C45" s="21">
        <v>0</v>
      </c>
      <c r="D45" s="20">
        <v>0</v>
      </c>
      <c r="I45" s="24">
        <v>8.5</v>
      </c>
    </row>
    <row r="46" spans="1:9" ht="15" x14ac:dyDescent="0.25">
      <c r="A46" s="8">
        <v>889</v>
      </c>
      <c r="B46" s="3" t="s">
        <v>28</v>
      </c>
      <c r="C46" s="21">
        <v>0</v>
      </c>
      <c r="D46" s="20">
        <v>0</v>
      </c>
      <c r="I46" s="24">
        <v>2.2000000000000002</v>
      </c>
    </row>
    <row r="47" spans="1:9" ht="15" x14ac:dyDescent="0.25">
      <c r="A47" s="8">
        <v>889</v>
      </c>
      <c r="B47" s="3" t="s">
        <v>87</v>
      </c>
      <c r="C47" s="4">
        <v>1</v>
      </c>
      <c r="D47" s="33">
        <v>0</v>
      </c>
      <c r="I47" s="24">
        <v>3.4</v>
      </c>
    </row>
    <row r="48" spans="1:9" ht="15.6" thickBot="1" x14ac:dyDescent="0.3">
      <c r="A48" s="9">
        <v>889</v>
      </c>
      <c r="B48" s="10" t="s">
        <v>7</v>
      </c>
      <c r="C48" s="11">
        <f>SUM(C43:C47)</f>
        <v>25</v>
      </c>
      <c r="D48" s="12">
        <f>F43/C48</f>
        <v>2.2200000000000002</v>
      </c>
      <c r="I48" s="24">
        <v>4.9000000000000004</v>
      </c>
    </row>
    <row r="49" spans="1:9" ht="15" x14ac:dyDescent="0.25">
      <c r="A49" s="5">
        <v>890</v>
      </c>
      <c r="B49" s="6" t="s">
        <v>29</v>
      </c>
      <c r="C49" s="18">
        <v>25</v>
      </c>
      <c r="D49" s="19">
        <v>3.4</v>
      </c>
      <c r="F49" s="2">
        <f>(C49*D49)+(C50*D50)</f>
        <v>89</v>
      </c>
      <c r="I49" s="24">
        <v>4.8</v>
      </c>
    </row>
    <row r="50" spans="1:9" ht="15" x14ac:dyDescent="0.25">
      <c r="A50" s="8">
        <v>890</v>
      </c>
      <c r="B50" s="3" t="s">
        <v>30</v>
      </c>
      <c r="C50" s="21">
        <v>1</v>
      </c>
      <c r="D50" s="20">
        <v>4</v>
      </c>
      <c r="I50" s="24">
        <v>3.3</v>
      </c>
    </row>
    <row r="51" spans="1:9" ht="15.6" thickBot="1" x14ac:dyDescent="0.3">
      <c r="A51" s="9">
        <v>890</v>
      </c>
      <c r="B51" s="10" t="s">
        <v>7</v>
      </c>
      <c r="C51" s="11">
        <f>SUM(C49:C50)</f>
        <v>26</v>
      </c>
      <c r="D51" s="12">
        <f>F49/C51</f>
        <v>3.4230769230769229</v>
      </c>
      <c r="I51" s="24">
        <v>4.7</v>
      </c>
    </row>
    <row r="52" spans="1:9" ht="15" x14ac:dyDescent="0.25">
      <c r="A52" s="5">
        <v>891</v>
      </c>
      <c r="B52" s="6" t="s">
        <v>31</v>
      </c>
      <c r="C52" s="7">
        <v>0</v>
      </c>
      <c r="D52" s="14">
        <v>0</v>
      </c>
      <c r="F52" s="2">
        <f>(C52*D52)+(C53*D53)+(C54*D54)</f>
        <v>141</v>
      </c>
      <c r="I52" s="24">
        <v>21.5</v>
      </c>
    </row>
    <row r="53" spans="1:9" ht="15" x14ac:dyDescent="0.25">
      <c r="A53" s="8">
        <v>891</v>
      </c>
      <c r="B53" s="3" t="s">
        <v>32</v>
      </c>
      <c r="C53" s="21">
        <v>15</v>
      </c>
      <c r="D53" s="20">
        <v>5.2</v>
      </c>
      <c r="I53" s="24">
        <v>6.2</v>
      </c>
    </row>
    <row r="54" spans="1:9" ht="15" x14ac:dyDescent="0.25">
      <c r="A54" s="8">
        <v>891</v>
      </c>
      <c r="B54" s="3" t="s">
        <v>33</v>
      </c>
      <c r="C54" s="21">
        <v>14</v>
      </c>
      <c r="D54" s="20">
        <v>4.5</v>
      </c>
      <c r="I54" s="24">
        <v>2.5</v>
      </c>
    </row>
    <row r="55" spans="1:9" ht="15.6" thickBot="1" x14ac:dyDescent="0.3">
      <c r="A55" s="9">
        <v>891</v>
      </c>
      <c r="B55" s="10" t="s">
        <v>7</v>
      </c>
      <c r="C55" s="11">
        <f>SUM(C52:C54)</f>
        <v>29</v>
      </c>
      <c r="D55" s="12">
        <f>F52/C55</f>
        <v>4.8620689655172411</v>
      </c>
      <c r="I55" s="44">
        <v>3.7</v>
      </c>
    </row>
    <row r="56" spans="1:9" ht="15" x14ac:dyDescent="0.25">
      <c r="A56" s="5">
        <v>892</v>
      </c>
      <c r="B56" s="6" t="s">
        <v>34</v>
      </c>
      <c r="C56" s="18">
        <v>47</v>
      </c>
      <c r="D56" s="19">
        <v>4.8</v>
      </c>
      <c r="F56" s="2">
        <f>(C56*D56)+(C57*D57)</f>
        <v>225.6</v>
      </c>
      <c r="I56" s="44">
        <v>6.3</v>
      </c>
    </row>
    <row r="57" spans="1:9" ht="15" x14ac:dyDescent="0.25">
      <c r="A57" s="8">
        <v>892</v>
      </c>
      <c r="B57" s="3" t="s">
        <v>49</v>
      </c>
      <c r="C57" s="21">
        <v>0</v>
      </c>
      <c r="D57" s="20">
        <v>0</v>
      </c>
      <c r="I57" s="43">
        <f>SUM(I35:I55)/22</f>
        <v>4.8909090909090915</v>
      </c>
    </row>
    <row r="58" spans="1:9" ht="15.6" thickBot="1" x14ac:dyDescent="0.3">
      <c r="A58" s="9">
        <v>892</v>
      </c>
      <c r="B58" s="10" t="s">
        <v>7</v>
      </c>
      <c r="C58" s="11">
        <f>SUM(C56:C57)</f>
        <v>47</v>
      </c>
      <c r="D58" s="12">
        <f>F56/C58</f>
        <v>4.8</v>
      </c>
    </row>
    <row r="59" spans="1:9" ht="15" x14ac:dyDescent="0.25">
      <c r="A59" s="5">
        <v>893</v>
      </c>
      <c r="B59" s="6" t="s">
        <v>35</v>
      </c>
      <c r="C59" s="18">
        <v>32</v>
      </c>
      <c r="D59" s="19">
        <v>3.2</v>
      </c>
      <c r="F59" s="2">
        <f>(C59*D59)+(C61*D61)</f>
        <v>158.80000000000001</v>
      </c>
    </row>
    <row r="60" spans="1:9" ht="15" x14ac:dyDescent="0.25">
      <c r="A60" s="8">
        <v>893</v>
      </c>
      <c r="B60" s="3" t="s">
        <v>50</v>
      </c>
      <c r="C60" s="21">
        <v>4</v>
      </c>
      <c r="D60" s="20">
        <v>3.2</v>
      </c>
    </row>
    <row r="61" spans="1:9" ht="15" x14ac:dyDescent="0.25">
      <c r="A61" s="8">
        <v>893</v>
      </c>
      <c r="B61" s="3" t="s">
        <v>36</v>
      </c>
      <c r="C61" s="21">
        <v>12</v>
      </c>
      <c r="D61" s="20">
        <v>4.7</v>
      </c>
    </row>
    <row r="62" spans="1:9" ht="15.6" thickBot="1" x14ac:dyDescent="0.3">
      <c r="A62" s="9">
        <v>893</v>
      </c>
      <c r="B62" s="10" t="s">
        <v>7</v>
      </c>
      <c r="C62" s="11">
        <f>SUM(C59:C61)</f>
        <v>48</v>
      </c>
      <c r="D62" s="12">
        <f>F59/C62</f>
        <v>3.3083333333333336</v>
      </c>
    </row>
    <row r="63" spans="1:9" ht="15" x14ac:dyDescent="0.25">
      <c r="A63" s="5">
        <v>894</v>
      </c>
      <c r="B63" s="6" t="s">
        <v>37</v>
      </c>
      <c r="C63" s="18">
        <v>24</v>
      </c>
      <c r="D63" s="19">
        <v>5.5</v>
      </c>
      <c r="F63" s="2">
        <f>(C63*D63)+(C64*D64)</f>
        <v>132.80000000000001</v>
      </c>
    </row>
    <row r="64" spans="1:9" ht="15" x14ac:dyDescent="0.25">
      <c r="A64" s="8">
        <v>894</v>
      </c>
      <c r="B64" s="3" t="s">
        <v>38</v>
      </c>
      <c r="C64" s="4">
        <v>4</v>
      </c>
      <c r="D64" s="15">
        <v>0.2</v>
      </c>
    </row>
    <row r="65" spans="1:6" ht="15.6" thickBot="1" x14ac:dyDescent="0.3">
      <c r="A65" s="9">
        <v>894</v>
      </c>
      <c r="B65" s="10" t="s">
        <v>7</v>
      </c>
      <c r="C65" s="11">
        <f>SUM(C63:C64)</f>
        <v>28</v>
      </c>
      <c r="D65" s="12">
        <f>F63/C65</f>
        <v>4.7428571428571429</v>
      </c>
    </row>
    <row r="66" spans="1:6" ht="15" x14ac:dyDescent="0.25">
      <c r="A66" s="5">
        <v>895</v>
      </c>
      <c r="B66" s="6" t="s">
        <v>39</v>
      </c>
      <c r="C66" s="7">
        <v>2</v>
      </c>
      <c r="D66" s="14">
        <v>22</v>
      </c>
      <c r="F66" s="2">
        <f>(C66*D66)+(C67*D67)</f>
        <v>1248</v>
      </c>
    </row>
    <row r="67" spans="1:6" ht="15" x14ac:dyDescent="0.25">
      <c r="A67" s="8">
        <v>895</v>
      </c>
      <c r="B67" s="3" t="s">
        <v>40</v>
      </c>
      <c r="C67" s="21">
        <v>56</v>
      </c>
      <c r="D67" s="20">
        <v>21.5</v>
      </c>
    </row>
    <row r="68" spans="1:6" ht="15.6" thickBot="1" x14ac:dyDescent="0.3">
      <c r="A68" s="9">
        <v>895</v>
      </c>
      <c r="B68" s="10" t="s">
        <v>7</v>
      </c>
      <c r="C68" s="11">
        <f>SUM(C66:C67)</f>
        <v>58</v>
      </c>
      <c r="D68" s="12">
        <f>F66/C68</f>
        <v>21.517241379310345</v>
      </c>
    </row>
    <row r="69" spans="1:6" ht="15" x14ac:dyDescent="0.25">
      <c r="A69" s="5">
        <v>896</v>
      </c>
      <c r="B69" s="6" t="s">
        <v>41</v>
      </c>
      <c r="C69" s="18">
        <v>15</v>
      </c>
      <c r="D69" s="19">
        <v>6.2</v>
      </c>
    </row>
    <row r="70" spans="1:6" ht="15.6" thickBot="1" x14ac:dyDescent="0.3">
      <c r="A70" s="9">
        <v>896</v>
      </c>
      <c r="B70" s="10" t="s">
        <v>7</v>
      </c>
      <c r="C70" s="10">
        <v>15</v>
      </c>
      <c r="D70" s="12">
        <v>6.2</v>
      </c>
    </row>
    <row r="71" spans="1:6" ht="15" x14ac:dyDescent="0.25">
      <c r="A71" s="5">
        <v>897</v>
      </c>
      <c r="B71" s="6" t="s">
        <v>42</v>
      </c>
      <c r="C71" s="7">
        <v>0</v>
      </c>
      <c r="D71" s="14">
        <v>0</v>
      </c>
      <c r="F71" s="2">
        <f>(C71*D71)+(C72*D72)</f>
        <v>95</v>
      </c>
    </row>
    <row r="72" spans="1:6" ht="15" x14ac:dyDescent="0.25">
      <c r="A72" s="8">
        <v>897</v>
      </c>
      <c r="B72" s="3" t="s">
        <v>43</v>
      </c>
      <c r="C72" s="21">
        <v>38</v>
      </c>
      <c r="D72" s="20">
        <v>2.5</v>
      </c>
    </row>
    <row r="73" spans="1:6" ht="15.6" thickBot="1" x14ac:dyDescent="0.3">
      <c r="A73" s="9">
        <v>897</v>
      </c>
      <c r="B73" s="10" t="s">
        <v>7</v>
      </c>
      <c r="C73" s="11">
        <f>SUM(C71:C72)</f>
        <v>38</v>
      </c>
      <c r="D73" s="12">
        <f>F71/C73</f>
        <v>2.5</v>
      </c>
    </row>
    <row r="74" spans="1:6" ht="15" x14ac:dyDescent="0.25">
      <c r="A74" s="5">
        <v>898</v>
      </c>
      <c r="B74" s="6" t="s">
        <v>44</v>
      </c>
      <c r="C74" s="18">
        <v>0</v>
      </c>
      <c r="D74" s="19">
        <v>0</v>
      </c>
      <c r="F74" s="2">
        <f>(C74*D74)+(C75*D75)</f>
        <v>74</v>
      </c>
    </row>
    <row r="75" spans="1:6" ht="15" x14ac:dyDescent="0.25">
      <c r="A75" s="8">
        <v>898</v>
      </c>
      <c r="B75" s="3" t="s">
        <v>45</v>
      </c>
      <c r="C75" s="21">
        <v>20</v>
      </c>
      <c r="D75" s="20">
        <v>3.7</v>
      </c>
    </row>
    <row r="76" spans="1:6" ht="15.6" thickBot="1" x14ac:dyDescent="0.3">
      <c r="A76" s="9">
        <v>898</v>
      </c>
      <c r="B76" s="10" t="s">
        <v>7</v>
      </c>
      <c r="C76" s="11">
        <f>SUM(C74:C75)</f>
        <v>20</v>
      </c>
      <c r="D76" s="12">
        <f>F74/C76</f>
        <v>3.7</v>
      </c>
    </row>
    <row r="77" spans="1:6" ht="15" x14ac:dyDescent="0.25">
      <c r="A77" s="5">
        <v>899</v>
      </c>
      <c r="B77" s="6" t="s">
        <v>46</v>
      </c>
      <c r="C77" s="18">
        <v>17</v>
      </c>
      <c r="D77" s="19">
        <v>6.3</v>
      </c>
      <c r="F77" s="2">
        <f>(C77*D77)+(C78*D78)</f>
        <v>107.1</v>
      </c>
    </row>
    <row r="78" spans="1:6" ht="15" x14ac:dyDescent="0.25">
      <c r="A78" s="8">
        <v>899</v>
      </c>
      <c r="B78" s="3" t="s">
        <v>47</v>
      </c>
      <c r="C78" s="4">
        <v>0</v>
      </c>
      <c r="D78" s="15">
        <v>0</v>
      </c>
    </row>
    <row r="79" spans="1:6" ht="15.6" thickBot="1" x14ac:dyDescent="0.3">
      <c r="A79" s="9">
        <v>899</v>
      </c>
      <c r="B79" s="10" t="s">
        <v>7</v>
      </c>
      <c r="C79" s="11">
        <f>SUM(C77:C78)</f>
        <v>17</v>
      </c>
      <c r="D79" s="12">
        <f>F77/C79</f>
        <v>6.3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61575-F94E-4330-9C39-0D331BAC0170}">
  <dimension ref="A2:I79"/>
  <sheetViews>
    <sheetView topLeftCell="A28" workbookViewId="0">
      <selection activeCell="I34" sqref="I34:I55"/>
    </sheetView>
  </sheetViews>
  <sheetFormatPr defaultColWidth="9.109375" defaultRowHeight="13.2" x14ac:dyDescent="0.25"/>
  <cols>
    <col min="1" max="2" width="12.6640625" style="2" customWidth="1"/>
    <col min="3" max="3" width="8.5546875" style="2" customWidth="1"/>
    <col min="4" max="4" width="19.109375" style="16" customWidth="1"/>
    <col min="5" max="7" width="10.44140625" style="2" customWidth="1"/>
    <col min="8" max="16384" width="9.109375" style="2"/>
  </cols>
  <sheetData>
    <row r="2" spans="1:6" ht="16.2" thickBot="1" x14ac:dyDescent="0.3">
      <c r="A2" s="1" t="s">
        <v>0</v>
      </c>
      <c r="B2" s="1" t="s">
        <v>1</v>
      </c>
      <c r="C2" s="1" t="s">
        <v>2</v>
      </c>
      <c r="D2" s="13" t="s">
        <v>3</v>
      </c>
    </row>
    <row r="3" spans="1:6" ht="15" x14ac:dyDescent="0.25">
      <c r="A3" s="47">
        <v>877</v>
      </c>
      <c r="B3" s="36" t="s">
        <v>98</v>
      </c>
      <c r="C3" s="36">
        <v>17</v>
      </c>
      <c r="D3" s="40">
        <v>6.1</v>
      </c>
    </row>
    <row r="4" spans="1:6" ht="16.2" thickBot="1" x14ac:dyDescent="0.3">
      <c r="A4" s="9">
        <v>877</v>
      </c>
      <c r="B4" s="42"/>
      <c r="C4" s="10">
        <v>17</v>
      </c>
      <c r="D4" s="12">
        <v>6.1</v>
      </c>
    </row>
    <row r="5" spans="1:6" ht="15" x14ac:dyDescent="0.25">
      <c r="A5" s="39" t="s">
        <v>95</v>
      </c>
      <c r="B5" s="36" t="s">
        <v>88</v>
      </c>
      <c r="C5" s="36">
        <v>21</v>
      </c>
      <c r="D5" s="40">
        <v>0</v>
      </c>
      <c r="F5" s="2">
        <f>(C5*D5)+(C6*D6)</f>
        <v>0</v>
      </c>
    </row>
    <row r="6" spans="1:6" ht="15" x14ac:dyDescent="0.25">
      <c r="A6" s="50" t="s">
        <v>95</v>
      </c>
      <c r="B6" s="27" t="s">
        <v>99</v>
      </c>
      <c r="C6" s="27">
        <v>0</v>
      </c>
      <c r="D6" s="49">
        <v>0</v>
      </c>
      <c r="F6" s="16"/>
    </row>
    <row r="7" spans="1:6" ht="16.2" thickBot="1" x14ac:dyDescent="0.3">
      <c r="A7" s="41"/>
      <c r="B7" s="42"/>
      <c r="C7" s="10">
        <f>SUM(C5:C6)</f>
        <v>21</v>
      </c>
      <c r="D7" s="12">
        <f>F5/C7</f>
        <v>0</v>
      </c>
      <c r="F7" s="16"/>
    </row>
    <row r="8" spans="1:6" ht="15" x14ac:dyDescent="0.25">
      <c r="A8" s="17" t="s">
        <v>96</v>
      </c>
      <c r="B8" s="6" t="s">
        <v>4</v>
      </c>
      <c r="C8" s="18">
        <v>40</v>
      </c>
      <c r="D8" s="19">
        <v>15.1</v>
      </c>
      <c r="F8" s="2">
        <f>(C8*D8)+(C9*D9)+(C10*D10)</f>
        <v>689.8</v>
      </c>
    </row>
    <row r="9" spans="1:6" ht="15" x14ac:dyDescent="0.25">
      <c r="A9" s="8">
        <v>879</v>
      </c>
      <c r="B9" s="3" t="s">
        <v>5</v>
      </c>
      <c r="C9" s="21">
        <v>3</v>
      </c>
      <c r="D9" s="20">
        <v>10</v>
      </c>
    </row>
    <row r="10" spans="1:6" ht="15" x14ac:dyDescent="0.25">
      <c r="A10" s="8">
        <v>879</v>
      </c>
      <c r="B10" s="3" t="s">
        <v>6</v>
      </c>
      <c r="C10" s="21">
        <v>6</v>
      </c>
      <c r="D10" s="20">
        <v>9.3000000000000007</v>
      </c>
    </row>
    <row r="11" spans="1:6" ht="15.6" thickBot="1" x14ac:dyDescent="0.3">
      <c r="A11" s="9">
        <v>879</v>
      </c>
      <c r="B11" s="10" t="s">
        <v>7</v>
      </c>
      <c r="C11" s="11">
        <f>SUM(C8:C10)</f>
        <v>49</v>
      </c>
      <c r="D11" s="12">
        <f>F8/C11</f>
        <v>14.077551020408162</v>
      </c>
    </row>
    <row r="12" spans="1:6" ht="15" x14ac:dyDescent="0.25">
      <c r="A12" s="5">
        <v>880</v>
      </c>
      <c r="B12" s="6" t="s">
        <v>8</v>
      </c>
      <c r="C12" s="18">
        <v>1</v>
      </c>
      <c r="D12" s="19">
        <v>0</v>
      </c>
      <c r="F12" s="2">
        <f>(C12*D12)+(C14*D14)+(C13*D13)</f>
        <v>230.4</v>
      </c>
    </row>
    <row r="13" spans="1:6" ht="15" x14ac:dyDescent="0.25">
      <c r="A13" s="8">
        <v>880</v>
      </c>
      <c r="B13" s="3" t="s">
        <v>92</v>
      </c>
      <c r="C13" s="34">
        <v>32</v>
      </c>
      <c r="D13" s="35">
        <v>7.2</v>
      </c>
    </row>
    <row r="14" spans="1:6" ht="15" x14ac:dyDescent="0.25">
      <c r="A14" s="8">
        <v>880</v>
      </c>
      <c r="B14" s="3" t="s">
        <v>9</v>
      </c>
      <c r="C14" s="21">
        <v>0</v>
      </c>
      <c r="D14" s="20">
        <v>0</v>
      </c>
    </row>
    <row r="15" spans="1:6" ht="15.6" thickBot="1" x14ac:dyDescent="0.3">
      <c r="A15" s="9">
        <v>880</v>
      </c>
      <c r="B15" s="10" t="s">
        <v>7</v>
      </c>
      <c r="C15" s="11">
        <f>SUM(C12:C14)</f>
        <v>33</v>
      </c>
      <c r="D15" s="12">
        <f>F12/C15</f>
        <v>6.9818181818181824</v>
      </c>
    </row>
    <row r="16" spans="1:6" ht="15" x14ac:dyDescent="0.25">
      <c r="A16" s="5">
        <v>881</v>
      </c>
      <c r="B16" s="6" t="s">
        <v>10</v>
      </c>
      <c r="C16" s="18">
        <v>0</v>
      </c>
      <c r="D16" s="19">
        <v>0</v>
      </c>
      <c r="F16" s="2">
        <f>(C16*D16)+(C17*D17)+(C18*D18)</f>
        <v>159.5</v>
      </c>
    </row>
    <row r="17" spans="1:6" ht="15" x14ac:dyDescent="0.25">
      <c r="A17" s="8">
        <v>881</v>
      </c>
      <c r="B17" s="3" t="s">
        <v>12</v>
      </c>
      <c r="C17" s="21">
        <v>29</v>
      </c>
      <c r="D17" s="20">
        <v>4.5</v>
      </c>
    </row>
    <row r="18" spans="1:6" ht="15" x14ac:dyDescent="0.25">
      <c r="A18" s="8">
        <v>881</v>
      </c>
      <c r="B18" s="3" t="s">
        <v>11</v>
      </c>
      <c r="C18" s="21">
        <v>2</v>
      </c>
      <c r="D18" s="20">
        <v>14.5</v>
      </c>
    </row>
    <row r="19" spans="1:6" ht="15.6" thickBot="1" x14ac:dyDescent="0.3">
      <c r="A19" s="9">
        <v>881</v>
      </c>
      <c r="B19" s="10" t="s">
        <v>7</v>
      </c>
      <c r="C19" s="11">
        <f>SUM(C16:C18)</f>
        <v>31</v>
      </c>
      <c r="D19" s="12">
        <f>F16/C19</f>
        <v>5.145161290322581</v>
      </c>
    </row>
    <row r="20" spans="1:6" ht="15" x14ac:dyDescent="0.25">
      <c r="A20" s="5">
        <v>882</v>
      </c>
      <c r="B20" s="6" t="s">
        <v>13</v>
      </c>
      <c r="C20" s="18">
        <v>59</v>
      </c>
      <c r="D20" s="19">
        <v>2.1</v>
      </c>
      <c r="F20" s="2">
        <f>(C20*D20)+(C21*D21)</f>
        <v>123.9</v>
      </c>
    </row>
    <row r="21" spans="1:6" ht="15" x14ac:dyDescent="0.25">
      <c r="A21" s="8">
        <v>882</v>
      </c>
      <c r="B21" s="3" t="s">
        <v>14</v>
      </c>
      <c r="C21" s="21">
        <v>1</v>
      </c>
      <c r="D21" s="20">
        <v>0</v>
      </c>
    </row>
    <row r="22" spans="1:6" ht="15.6" thickBot="1" x14ac:dyDescent="0.3">
      <c r="A22" s="9">
        <v>882</v>
      </c>
      <c r="B22" s="10" t="s">
        <v>7</v>
      </c>
      <c r="C22" s="11">
        <f>SUM(C20:C21)</f>
        <v>60</v>
      </c>
      <c r="D22" s="12">
        <f>F20/C22</f>
        <v>2.0649999999999999</v>
      </c>
    </row>
    <row r="23" spans="1:6" ht="15" x14ac:dyDescent="0.25">
      <c r="A23" s="5">
        <v>884</v>
      </c>
      <c r="B23" s="6" t="s">
        <v>15</v>
      </c>
      <c r="C23" s="18">
        <v>0</v>
      </c>
      <c r="D23" s="19">
        <v>0</v>
      </c>
      <c r="F23" s="2">
        <f>(C23*D23)+(C24*D24)+(C25*D25)</f>
        <v>144</v>
      </c>
    </row>
    <row r="24" spans="1:6" ht="15" x14ac:dyDescent="0.25">
      <c r="A24" s="8">
        <v>884</v>
      </c>
      <c r="B24" s="3" t="s">
        <v>16</v>
      </c>
      <c r="C24" s="21">
        <v>10</v>
      </c>
      <c r="D24" s="20">
        <v>0.8</v>
      </c>
    </row>
    <row r="25" spans="1:6" ht="15" x14ac:dyDescent="0.25">
      <c r="A25" s="8">
        <v>884</v>
      </c>
      <c r="B25" s="3" t="s">
        <v>17</v>
      </c>
      <c r="C25" s="21">
        <v>85</v>
      </c>
      <c r="D25" s="20">
        <v>1.6</v>
      </c>
    </row>
    <row r="26" spans="1:6" ht="15.6" thickBot="1" x14ac:dyDescent="0.3">
      <c r="A26" s="9">
        <v>884</v>
      </c>
      <c r="B26" s="10" t="s">
        <v>7</v>
      </c>
      <c r="C26" s="11">
        <f>SUM(C23:C25)</f>
        <v>95</v>
      </c>
      <c r="D26" s="12">
        <f>F23/C26</f>
        <v>1.5157894736842106</v>
      </c>
    </row>
    <row r="27" spans="1:6" ht="15" x14ac:dyDescent="0.25">
      <c r="A27" s="29" t="s">
        <v>97</v>
      </c>
      <c r="B27" s="27" t="s">
        <v>64</v>
      </c>
      <c r="C27" s="28">
        <v>21</v>
      </c>
      <c r="D27" s="32">
        <v>4.8</v>
      </c>
      <c r="F27" s="2">
        <f>(C27*D27)+(C28*D28)</f>
        <v>100.8</v>
      </c>
    </row>
    <row r="28" spans="1:6" ht="15" x14ac:dyDescent="0.25">
      <c r="A28" s="29" t="s">
        <v>97</v>
      </c>
      <c r="B28" s="27" t="s">
        <v>91</v>
      </c>
      <c r="C28" s="28">
        <v>1</v>
      </c>
      <c r="D28" s="32">
        <v>0</v>
      </c>
    </row>
    <row r="29" spans="1:6" ht="15.6" thickBot="1" x14ac:dyDescent="0.3">
      <c r="A29" s="30" t="s">
        <v>97</v>
      </c>
      <c r="B29" s="25"/>
      <c r="C29" s="26">
        <f>SUM(C27:C28)</f>
        <v>22</v>
      </c>
      <c r="D29" s="12">
        <f>F27/C29</f>
        <v>4.581818181818182</v>
      </c>
    </row>
    <row r="30" spans="1:6" ht="15" x14ac:dyDescent="0.25">
      <c r="A30" s="5">
        <v>886</v>
      </c>
      <c r="B30" s="6" t="s">
        <v>18</v>
      </c>
      <c r="C30" s="18">
        <v>31</v>
      </c>
      <c r="D30" s="19">
        <v>3.3</v>
      </c>
      <c r="F30" s="2">
        <f>(C30*D30)+(C32*D32)+(C31*D31)</f>
        <v>102.3</v>
      </c>
    </row>
    <row r="31" spans="1:6" ht="15" x14ac:dyDescent="0.25">
      <c r="A31" s="8">
        <v>886</v>
      </c>
      <c r="B31" s="3" t="s">
        <v>90</v>
      </c>
      <c r="C31" s="4">
        <v>0</v>
      </c>
      <c r="D31" s="33">
        <v>0</v>
      </c>
    </row>
    <row r="32" spans="1:6" ht="15" x14ac:dyDescent="0.25">
      <c r="A32" s="8">
        <v>886</v>
      </c>
      <c r="B32" s="3" t="s">
        <v>19</v>
      </c>
      <c r="C32" s="4">
        <v>0</v>
      </c>
      <c r="D32" s="15">
        <v>0</v>
      </c>
    </row>
    <row r="33" spans="1:9" ht="15.6" thickBot="1" x14ac:dyDescent="0.3">
      <c r="A33" s="9">
        <v>886</v>
      </c>
      <c r="B33" s="10" t="s">
        <v>7</v>
      </c>
      <c r="C33" s="11">
        <f>SUM(C30:C32)</f>
        <v>31</v>
      </c>
      <c r="D33" s="12">
        <f>F30/C33</f>
        <v>3.3</v>
      </c>
    </row>
    <row r="34" spans="1:9" ht="15" x14ac:dyDescent="0.25">
      <c r="A34" s="5">
        <v>887</v>
      </c>
      <c r="B34" s="6" t="s">
        <v>20</v>
      </c>
      <c r="C34" s="7">
        <v>1</v>
      </c>
      <c r="D34" s="14">
        <v>0</v>
      </c>
      <c r="F34" s="2">
        <f>(C34*D34)+(C35*D35)</f>
        <v>54</v>
      </c>
      <c r="I34" s="2">
        <v>6.1</v>
      </c>
    </row>
    <row r="35" spans="1:9" ht="15" x14ac:dyDescent="0.25">
      <c r="A35" s="8">
        <v>887</v>
      </c>
      <c r="B35" s="3" t="s">
        <v>21</v>
      </c>
      <c r="C35" s="21">
        <v>27</v>
      </c>
      <c r="D35" s="20">
        <v>2</v>
      </c>
      <c r="I35" s="2">
        <v>0</v>
      </c>
    </row>
    <row r="36" spans="1:9" ht="15.6" thickBot="1" x14ac:dyDescent="0.3">
      <c r="A36" s="9">
        <v>887</v>
      </c>
      <c r="B36" s="10" t="s">
        <v>7</v>
      </c>
      <c r="C36" s="11">
        <f>SUM(C34:C35)</f>
        <v>28</v>
      </c>
      <c r="D36" s="12">
        <f>F34/C36</f>
        <v>1.9285714285714286</v>
      </c>
      <c r="I36" s="2">
        <v>14.1</v>
      </c>
    </row>
    <row r="37" spans="1:9" ht="15" x14ac:dyDescent="0.25">
      <c r="A37" s="5">
        <v>888</v>
      </c>
      <c r="B37" s="6" t="s">
        <v>22</v>
      </c>
      <c r="C37" s="18">
        <v>0</v>
      </c>
      <c r="D37" s="19">
        <v>0</v>
      </c>
      <c r="F37" s="2">
        <f>(C37*D37)+(C38*D38)+(C39*D39)+(C40*D40)</f>
        <v>510.5</v>
      </c>
      <c r="I37" s="2">
        <v>7</v>
      </c>
    </row>
    <row r="38" spans="1:9" ht="15" x14ac:dyDescent="0.25">
      <c r="A38" s="8">
        <v>888</v>
      </c>
      <c r="B38" s="3" t="s">
        <v>23</v>
      </c>
      <c r="C38" s="4">
        <v>4</v>
      </c>
      <c r="D38" s="15">
        <v>20.7</v>
      </c>
      <c r="I38" s="24">
        <v>5.0999999999999996</v>
      </c>
    </row>
    <row r="39" spans="1:9" ht="15" x14ac:dyDescent="0.25">
      <c r="A39" s="8">
        <v>888</v>
      </c>
      <c r="B39" s="3" t="s">
        <v>24</v>
      </c>
      <c r="C39" s="21">
        <v>37</v>
      </c>
      <c r="D39" s="20">
        <v>10.1</v>
      </c>
      <c r="I39" s="24">
        <v>2.1</v>
      </c>
    </row>
    <row r="40" spans="1:9" ht="15" x14ac:dyDescent="0.25">
      <c r="A40" s="8">
        <v>888</v>
      </c>
      <c r="B40" s="3" t="s">
        <v>48</v>
      </c>
      <c r="C40" s="21">
        <v>2</v>
      </c>
      <c r="D40" s="20">
        <v>27</v>
      </c>
      <c r="I40" s="24">
        <v>1.5</v>
      </c>
    </row>
    <row r="41" spans="1:9" ht="15.6" thickBot="1" x14ac:dyDescent="0.3">
      <c r="A41" s="9">
        <v>888</v>
      </c>
      <c r="B41" s="10" t="s">
        <v>7</v>
      </c>
      <c r="C41" s="11">
        <f>SUM(C37:C40)</f>
        <v>43</v>
      </c>
      <c r="D41" s="12">
        <f>F37/C41</f>
        <v>11.872093023255815</v>
      </c>
      <c r="I41" s="24">
        <v>4.5999999999999996</v>
      </c>
    </row>
    <row r="42" spans="1:9" ht="15" x14ac:dyDescent="0.25">
      <c r="A42" s="5">
        <v>889</v>
      </c>
      <c r="B42" s="6" t="s">
        <v>25</v>
      </c>
      <c r="C42" s="18">
        <v>20</v>
      </c>
      <c r="D42" s="19">
        <v>10.1</v>
      </c>
      <c r="F42" s="2">
        <f>(C42*D42)+(C43*D43)+(C44*D44)+(C45*D45)+(C46*D46)</f>
        <v>269.8</v>
      </c>
      <c r="I42" s="24">
        <v>3.3</v>
      </c>
    </row>
    <row r="43" spans="1:9" ht="15" x14ac:dyDescent="0.25">
      <c r="A43" s="8">
        <v>889</v>
      </c>
      <c r="B43" s="3" t="s">
        <v>26</v>
      </c>
      <c r="C43" s="21">
        <v>16</v>
      </c>
      <c r="D43" s="20">
        <v>3.3</v>
      </c>
      <c r="I43" s="24">
        <v>1.9</v>
      </c>
    </row>
    <row r="44" spans="1:9" ht="15" x14ac:dyDescent="0.25">
      <c r="A44" s="8">
        <v>889</v>
      </c>
      <c r="B44" s="3" t="s">
        <v>27</v>
      </c>
      <c r="C44" s="21">
        <v>0</v>
      </c>
      <c r="D44" s="20">
        <v>0</v>
      </c>
      <c r="I44" s="24">
        <v>11.6</v>
      </c>
    </row>
    <row r="45" spans="1:9" ht="15" x14ac:dyDescent="0.25">
      <c r="A45" s="8">
        <v>889</v>
      </c>
      <c r="B45" s="3" t="s">
        <v>28</v>
      </c>
      <c r="C45" s="21">
        <v>1</v>
      </c>
      <c r="D45" s="20">
        <v>6</v>
      </c>
      <c r="I45" s="24">
        <v>6.7</v>
      </c>
    </row>
    <row r="46" spans="1:9" ht="15" x14ac:dyDescent="0.25">
      <c r="A46" s="8">
        <v>889</v>
      </c>
      <c r="B46" s="3" t="s">
        <v>87</v>
      </c>
      <c r="C46" s="4">
        <v>3</v>
      </c>
      <c r="D46" s="33">
        <v>3</v>
      </c>
      <c r="I46" s="24">
        <v>7</v>
      </c>
    </row>
    <row r="47" spans="1:9" ht="15.6" thickBot="1" x14ac:dyDescent="0.3">
      <c r="A47" s="9">
        <v>889</v>
      </c>
      <c r="B47" s="10" t="s">
        <v>7</v>
      </c>
      <c r="C47" s="11">
        <f>SUM(C42:C46)</f>
        <v>40</v>
      </c>
      <c r="D47" s="12">
        <f>F42/C47</f>
        <v>6.7450000000000001</v>
      </c>
      <c r="I47" s="24">
        <v>7.8</v>
      </c>
    </row>
    <row r="48" spans="1:9" ht="15" x14ac:dyDescent="0.25">
      <c r="A48" s="5">
        <v>890</v>
      </c>
      <c r="B48" s="6" t="s">
        <v>29</v>
      </c>
      <c r="C48" s="18">
        <v>25</v>
      </c>
      <c r="D48" s="19">
        <v>7</v>
      </c>
      <c r="F48" s="2">
        <f>(C48*D48)+(C49*D49)</f>
        <v>175</v>
      </c>
      <c r="I48" s="24">
        <v>3.4</v>
      </c>
    </row>
    <row r="49" spans="1:9" ht="15" x14ac:dyDescent="0.25">
      <c r="A49" s="8">
        <v>890</v>
      </c>
      <c r="B49" s="3" t="s">
        <v>30</v>
      </c>
      <c r="C49" s="21">
        <v>0</v>
      </c>
      <c r="D49" s="20">
        <v>0</v>
      </c>
      <c r="I49" s="24">
        <v>6</v>
      </c>
    </row>
    <row r="50" spans="1:9" ht="15.6" thickBot="1" x14ac:dyDescent="0.3">
      <c r="A50" s="9">
        <v>890</v>
      </c>
      <c r="B50" s="10" t="s">
        <v>7</v>
      </c>
      <c r="C50" s="11">
        <f>SUM(C48:C49)</f>
        <v>25</v>
      </c>
      <c r="D50" s="12">
        <f>F48/C50</f>
        <v>7</v>
      </c>
      <c r="I50" s="24">
        <v>1.6</v>
      </c>
    </row>
    <row r="51" spans="1:9" ht="15" x14ac:dyDescent="0.25">
      <c r="A51" s="5">
        <v>891</v>
      </c>
      <c r="B51" s="6" t="s">
        <v>31</v>
      </c>
      <c r="C51" s="7">
        <v>0</v>
      </c>
      <c r="D51" s="14">
        <v>0</v>
      </c>
      <c r="F51" s="2">
        <f>(C51*D51)+(C52*D52)+(C53*D53)</f>
        <v>263.60000000000002</v>
      </c>
      <c r="I51" s="24">
        <v>34.200000000000003</v>
      </c>
    </row>
    <row r="52" spans="1:9" ht="15" x14ac:dyDescent="0.25">
      <c r="A52" s="8">
        <v>891</v>
      </c>
      <c r="B52" s="3" t="s">
        <v>32</v>
      </c>
      <c r="C52" s="21">
        <v>18</v>
      </c>
      <c r="D52" s="20">
        <v>3</v>
      </c>
      <c r="I52" s="24">
        <v>7.6</v>
      </c>
    </row>
    <row r="53" spans="1:9" ht="15" x14ac:dyDescent="0.25">
      <c r="A53" s="8">
        <v>891</v>
      </c>
      <c r="B53" s="3" t="s">
        <v>33</v>
      </c>
      <c r="C53" s="21">
        <v>16</v>
      </c>
      <c r="D53" s="20">
        <v>13.1</v>
      </c>
      <c r="I53" s="24">
        <v>0.2</v>
      </c>
    </row>
    <row r="54" spans="1:9" ht="15.6" thickBot="1" x14ac:dyDescent="0.3">
      <c r="A54" s="9">
        <v>891</v>
      </c>
      <c r="B54" s="10" t="s">
        <v>7</v>
      </c>
      <c r="C54" s="11">
        <f>SUM(C51:C53)</f>
        <v>34</v>
      </c>
      <c r="D54" s="12">
        <f>F51/C54</f>
        <v>7.7529411764705891</v>
      </c>
      <c r="I54" s="44">
        <v>5.7</v>
      </c>
    </row>
    <row r="55" spans="1:9" ht="15" x14ac:dyDescent="0.25">
      <c r="A55" s="5">
        <v>892</v>
      </c>
      <c r="B55" s="6" t="s">
        <v>34</v>
      </c>
      <c r="C55" s="18">
        <v>33</v>
      </c>
      <c r="D55" s="19">
        <v>3.4</v>
      </c>
      <c r="F55" s="2">
        <f>(C55*D55)+(C56*D56)</f>
        <v>112.2</v>
      </c>
      <c r="I55" s="24">
        <v>5.4</v>
      </c>
    </row>
    <row r="56" spans="1:9" ht="15" x14ac:dyDescent="0.25">
      <c r="A56" s="8">
        <v>892</v>
      </c>
      <c r="B56" s="3" t="s">
        <v>49</v>
      </c>
      <c r="C56" s="21">
        <v>0</v>
      </c>
      <c r="D56" s="20">
        <v>0</v>
      </c>
      <c r="I56" s="44">
        <f>SUM(I34:I55)/22</f>
        <v>6.4954545454545443</v>
      </c>
    </row>
    <row r="57" spans="1:9" ht="15.6" thickBot="1" x14ac:dyDescent="0.3">
      <c r="A57" s="9">
        <v>892</v>
      </c>
      <c r="B57" s="10" t="s">
        <v>7</v>
      </c>
      <c r="C57" s="11">
        <f>SUM(C55:C56)</f>
        <v>33</v>
      </c>
      <c r="D57" s="12">
        <f>F55/C57</f>
        <v>3.4</v>
      </c>
      <c r="I57" s="24"/>
    </row>
    <row r="58" spans="1:9" ht="15" x14ac:dyDescent="0.25">
      <c r="A58" s="5">
        <v>893</v>
      </c>
      <c r="B58" s="6" t="s">
        <v>35</v>
      </c>
      <c r="C58" s="18">
        <v>41</v>
      </c>
      <c r="D58" s="19">
        <v>0.9</v>
      </c>
      <c r="F58" s="2">
        <f>(C58*D58)+(C60*D60)</f>
        <v>546.5</v>
      </c>
      <c r="I58" s="44"/>
    </row>
    <row r="59" spans="1:9" ht="15" x14ac:dyDescent="0.25">
      <c r="A59" s="8">
        <v>893</v>
      </c>
      <c r="B59" s="3" t="s">
        <v>50</v>
      </c>
      <c r="C59" s="21">
        <v>1</v>
      </c>
      <c r="D59" s="20">
        <v>4</v>
      </c>
      <c r="I59" s="43"/>
    </row>
    <row r="60" spans="1:9" ht="15" x14ac:dyDescent="0.25">
      <c r="A60" s="8">
        <v>893</v>
      </c>
      <c r="B60" s="3" t="s">
        <v>36</v>
      </c>
      <c r="C60" s="21">
        <v>49</v>
      </c>
      <c r="D60" s="20">
        <v>10.4</v>
      </c>
    </row>
    <row r="61" spans="1:9" ht="15.6" thickBot="1" x14ac:dyDescent="0.3">
      <c r="A61" s="9">
        <v>893</v>
      </c>
      <c r="B61" s="10" t="s">
        <v>7</v>
      </c>
      <c r="C61" s="11">
        <f>SUM(C58:C60)</f>
        <v>91</v>
      </c>
      <c r="D61" s="12">
        <f>F58/C61</f>
        <v>6.0054945054945055</v>
      </c>
    </row>
    <row r="62" spans="1:9" ht="15" x14ac:dyDescent="0.25">
      <c r="A62" s="5">
        <v>894</v>
      </c>
      <c r="B62" s="6" t="s">
        <v>37</v>
      </c>
      <c r="C62" s="18">
        <v>24</v>
      </c>
      <c r="D62" s="19">
        <v>2.2000000000000002</v>
      </c>
      <c r="F62" s="2">
        <f>(C62*D62)+(C64*D64)+(C63*D63)</f>
        <v>52.800000000000004</v>
      </c>
    </row>
    <row r="63" spans="1:9" ht="15" x14ac:dyDescent="0.25">
      <c r="A63" s="8">
        <v>894</v>
      </c>
      <c r="B63" s="3" t="s">
        <v>101</v>
      </c>
      <c r="C63" s="4">
        <v>4</v>
      </c>
      <c r="D63" s="33">
        <v>0</v>
      </c>
    </row>
    <row r="64" spans="1:9" ht="15" x14ac:dyDescent="0.25">
      <c r="A64" s="8">
        <v>894</v>
      </c>
      <c r="B64" s="3" t="s">
        <v>38</v>
      </c>
      <c r="C64" s="4">
        <v>5</v>
      </c>
      <c r="D64" s="15">
        <v>0</v>
      </c>
    </row>
    <row r="65" spans="1:6" ht="15.6" thickBot="1" x14ac:dyDescent="0.3">
      <c r="A65" s="9">
        <v>894</v>
      </c>
      <c r="B65" s="10" t="s">
        <v>7</v>
      </c>
      <c r="C65" s="11">
        <f>SUM(C62:C64)</f>
        <v>33</v>
      </c>
      <c r="D65" s="12">
        <f>F62/C65</f>
        <v>1.6</v>
      </c>
    </row>
    <row r="66" spans="1:6" ht="15" x14ac:dyDescent="0.25">
      <c r="A66" s="5">
        <v>895</v>
      </c>
      <c r="B66" s="6" t="s">
        <v>39</v>
      </c>
      <c r="C66" s="7">
        <v>3</v>
      </c>
      <c r="D66" s="14">
        <v>50</v>
      </c>
      <c r="F66" s="2">
        <f>(C66*D66)+(C67*D67)</f>
        <v>1470</v>
      </c>
    </row>
    <row r="67" spans="1:6" ht="15" x14ac:dyDescent="0.25">
      <c r="A67" s="8">
        <v>895</v>
      </c>
      <c r="B67" s="3" t="s">
        <v>40</v>
      </c>
      <c r="C67" s="21">
        <v>40</v>
      </c>
      <c r="D67" s="20">
        <v>33</v>
      </c>
    </row>
    <row r="68" spans="1:6" ht="15.6" thickBot="1" x14ac:dyDescent="0.3">
      <c r="A68" s="9">
        <v>895</v>
      </c>
      <c r="B68" s="10" t="s">
        <v>7</v>
      </c>
      <c r="C68" s="11">
        <f>SUM(C66:C67)</f>
        <v>43</v>
      </c>
      <c r="D68" s="12">
        <f>F66/C68</f>
        <v>34.186046511627907</v>
      </c>
    </row>
    <row r="69" spans="1:6" ht="15" x14ac:dyDescent="0.25">
      <c r="A69" s="5">
        <v>896</v>
      </c>
      <c r="B69" s="6" t="s">
        <v>41</v>
      </c>
      <c r="C69" s="18">
        <v>25</v>
      </c>
      <c r="D69" s="19">
        <v>7.6</v>
      </c>
    </row>
    <row r="70" spans="1:6" ht="15.6" thickBot="1" x14ac:dyDescent="0.3">
      <c r="A70" s="9">
        <v>896</v>
      </c>
      <c r="B70" s="10" t="s">
        <v>7</v>
      </c>
      <c r="C70" s="10">
        <v>25</v>
      </c>
      <c r="D70" s="12">
        <v>7.6</v>
      </c>
    </row>
    <row r="71" spans="1:6" ht="15" x14ac:dyDescent="0.25">
      <c r="A71" s="5">
        <v>897</v>
      </c>
      <c r="B71" s="6" t="s">
        <v>42</v>
      </c>
      <c r="C71" s="7">
        <v>3</v>
      </c>
      <c r="D71" s="14">
        <v>0</v>
      </c>
      <c r="F71" s="2">
        <f>(C71*D71)+(C72*D72)</f>
        <v>5.2</v>
      </c>
    </row>
    <row r="72" spans="1:6" ht="15" x14ac:dyDescent="0.25">
      <c r="A72" s="8">
        <v>897</v>
      </c>
      <c r="B72" s="3" t="s">
        <v>43</v>
      </c>
      <c r="C72" s="21">
        <v>26</v>
      </c>
      <c r="D72" s="20">
        <v>0.2</v>
      </c>
    </row>
    <row r="73" spans="1:6" ht="15.6" thickBot="1" x14ac:dyDescent="0.3">
      <c r="A73" s="9">
        <v>897</v>
      </c>
      <c r="B73" s="10" t="s">
        <v>7</v>
      </c>
      <c r="C73" s="11">
        <f>SUM(C71:C72)</f>
        <v>29</v>
      </c>
      <c r="D73" s="12">
        <f>F71/C73</f>
        <v>0.1793103448275862</v>
      </c>
    </row>
    <row r="74" spans="1:6" ht="15" x14ac:dyDescent="0.25">
      <c r="A74" s="5">
        <v>898</v>
      </c>
      <c r="B74" s="6" t="s">
        <v>44</v>
      </c>
      <c r="C74" s="18">
        <v>1</v>
      </c>
      <c r="D74" s="19">
        <v>0</v>
      </c>
      <c r="F74" s="2">
        <f>(C74*D74)+(C75*D75)</f>
        <v>147.5</v>
      </c>
    </row>
    <row r="75" spans="1:6" ht="15" x14ac:dyDescent="0.25">
      <c r="A75" s="8">
        <v>898</v>
      </c>
      <c r="B75" s="3" t="s">
        <v>45</v>
      </c>
      <c r="C75" s="21">
        <v>25</v>
      </c>
      <c r="D75" s="20">
        <v>5.9</v>
      </c>
    </row>
    <row r="76" spans="1:6" ht="15.6" thickBot="1" x14ac:dyDescent="0.3">
      <c r="A76" s="9">
        <v>898</v>
      </c>
      <c r="B76" s="10" t="s">
        <v>7</v>
      </c>
      <c r="C76" s="11">
        <f>SUM(C74:C75)</f>
        <v>26</v>
      </c>
      <c r="D76" s="12">
        <f>F74/C76</f>
        <v>5.6730769230769234</v>
      </c>
    </row>
    <row r="77" spans="1:6" ht="15" x14ac:dyDescent="0.25">
      <c r="A77" s="5">
        <v>899</v>
      </c>
      <c r="B77" s="6" t="s">
        <v>46</v>
      </c>
      <c r="C77" s="18">
        <v>10</v>
      </c>
      <c r="D77" s="19">
        <v>5.4</v>
      </c>
      <c r="F77" s="2">
        <f>(C77*D77)+(C78*D78)</f>
        <v>54</v>
      </c>
    </row>
    <row r="78" spans="1:6" ht="15" x14ac:dyDescent="0.25">
      <c r="A78" s="8">
        <v>899</v>
      </c>
      <c r="B78" s="3" t="s">
        <v>47</v>
      </c>
      <c r="C78" s="4">
        <v>0</v>
      </c>
      <c r="D78" s="15">
        <v>0</v>
      </c>
    </row>
    <row r="79" spans="1:6" ht="15.6" thickBot="1" x14ac:dyDescent="0.3">
      <c r="A79" s="9">
        <v>899</v>
      </c>
      <c r="B79" s="10" t="s">
        <v>7</v>
      </c>
      <c r="C79" s="11">
        <f>SUM(C77:C78)</f>
        <v>10</v>
      </c>
      <c r="D79" s="12">
        <f>F77/C79</f>
        <v>5.4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9439E-F3CD-41F6-9410-C635827C9F2C}">
  <dimension ref="A2:I79"/>
  <sheetViews>
    <sheetView topLeftCell="A40" workbookViewId="0">
      <selection activeCell="A62" sqref="A62:F65"/>
    </sheetView>
  </sheetViews>
  <sheetFormatPr defaultColWidth="9.109375" defaultRowHeight="13.2" x14ac:dyDescent="0.25"/>
  <cols>
    <col min="1" max="2" width="12.6640625" style="2" customWidth="1"/>
    <col min="3" max="3" width="8.5546875" style="2" customWidth="1"/>
    <col min="4" max="4" width="19.109375" style="16" customWidth="1"/>
    <col min="5" max="7" width="10.44140625" style="2" customWidth="1"/>
    <col min="8" max="16384" width="9.109375" style="2"/>
  </cols>
  <sheetData>
    <row r="2" spans="1:6" ht="16.2" thickBot="1" x14ac:dyDescent="0.3">
      <c r="A2" s="1" t="s">
        <v>0</v>
      </c>
      <c r="B2" s="1" t="s">
        <v>1</v>
      </c>
      <c r="C2" s="1" t="s">
        <v>2</v>
      </c>
      <c r="D2" s="13" t="s">
        <v>3</v>
      </c>
    </row>
    <row r="3" spans="1:6" ht="15" x14ac:dyDescent="0.25">
      <c r="A3" s="47">
        <v>877</v>
      </c>
      <c r="B3" s="36" t="s">
        <v>98</v>
      </c>
      <c r="C3" s="36">
        <v>26</v>
      </c>
      <c r="D3" s="40">
        <v>5</v>
      </c>
    </row>
    <row r="4" spans="1:6" ht="16.2" thickBot="1" x14ac:dyDescent="0.3">
      <c r="A4" s="9">
        <v>877</v>
      </c>
      <c r="B4" s="42"/>
      <c r="C4" s="10">
        <v>26</v>
      </c>
      <c r="D4" s="12">
        <v>5</v>
      </c>
    </row>
    <row r="5" spans="1:6" ht="15" x14ac:dyDescent="0.25">
      <c r="A5" s="47">
        <v>878</v>
      </c>
      <c r="B5" s="36" t="s">
        <v>99</v>
      </c>
      <c r="C5" s="36">
        <v>1</v>
      </c>
      <c r="D5" s="40">
        <v>0</v>
      </c>
      <c r="F5" s="2">
        <f>(C5*D5)+(C6*D6)</f>
        <v>4.4000000000000004</v>
      </c>
    </row>
    <row r="6" spans="1:6" ht="15" x14ac:dyDescent="0.25">
      <c r="A6" s="50" t="s">
        <v>95</v>
      </c>
      <c r="B6" s="27" t="s">
        <v>88</v>
      </c>
      <c r="C6" s="27">
        <v>22</v>
      </c>
      <c r="D6" s="49">
        <v>0.2</v>
      </c>
      <c r="F6" s="16"/>
    </row>
    <row r="7" spans="1:6" ht="16.2" thickBot="1" x14ac:dyDescent="0.3">
      <c r="A7" s="41"/>
      <c r="B7" s="42"/>
      <c r="C7" s="10">
        <v>26</v>
      </c>
      <c r="D7" s="12">
        <f>F5/C7</f>
        <v>0.16923076923076924</v>
      </c>
      <c r="F7" s="16"/>
    </row>
    <row r="8" spans="1:6" ht="15" x14ac:dyDescent="0.25">
      <c r="A8" s="17" t="s">
        <v>96</v>
      </c>
      <c r="B8" s="6" t="s">
        <v>4</v>
      </c>
      <c r="C8" s="18">
        <v>26</v>
      </c>
      <c r="D8" s="19">
        <v>13</v>
      </c>
      <c r="F8" s="2">
        <f>(C8*D8)+(C9*D9)+(C10*D10)</f>
        <v>387</v>
      </c>
    </row>
    <row r="9" spans="1:6" ht="15" x14ac:dyDescent="0.25">
      <c r="A9" s="8">
        <v>879</v>
      </c>
      <c r="B9" s="3" t="s">
        <v>5</v>
      </c>
      <c r="C9" s="21">
        <v>5</v>
      </c>
      <c r="D9" s="20">
        <v>7.6</v>
      </c>
    </row>
    <row r="10" spans="1:6" ht="15" x14ac:dyDescent="0.25">
      <c r="A10" s="8">
        <v>879</v>
      </c>
      <c r="B10" s="3" t="s">
        <v>6</v>
      </c>
      <c r="C10" s="21">
        <v>2</v>
      </c>
      <c r="D10" s="20">
        <v>5.5</v>
      </c>
    </row>
    <row r="11" spans="1:6" ht="15.6" thickBot="1" x14ac:dyDescent="0.3">
      <c r="A11" s="9">
        <v>879</v>
      </c>
      <c r="B11" s="10" t="s">
        <v>7</v>
      </c>
      <c r="C11" s="11">
        <f>SUM(C8:C10)</f>
        <v>33</v>
      </c>
      <c r="D11" s="12">
        <f>F8/C11</f>
        <v>11.727272727272727</v>
      </c>
    </row>
    <row r="12" spans="1:6" ht="15" x14ac:dyDescent="0.25">
      <c r="A12" s="5">
        <v>880</v>
      </c>
      <c r="B12" s="6" t="s">
        <v>8</v>
      </c>
      <c r="C12" s="18">
        <v>1</v>
      </c>
      <c r="D12" s="19">
        <v>12</v>
      </c>
      <c r="F12" s="2">
        <f>(C12*D12)+(C14*D14)+(C13*D13)</f>
        <v>74.400000000000006</v>
      </c>
    </row>
    <row r="13" spans="1:6" ht="15" x14ac:dyDescent="0.25">
      <c r="A13" s="8">
        <v>880</v>
      </c>
      <c r="B13" s="3" t="s">
        <v>92</v>
      </c>
      <c r="C13" s="34">
        <v>12</v>
      </c>
      <c r="D13" s="35">
        <v>5.2</v>
      </c>
    </row>
    <row r="14" spans="1:6" ht="15" x14ac:dyDescent="0.25">
      <c r="A14" s="8">
        <v>880</v>
      </c>
      <c r="B14" s="3" t="s">
        <v>9</v>
      </c>
      <c r="C14" s="21">
        <v>0</v>
      </c>
      <c r="D14" s="20">
        <v>0</v>
      </c>
    </row>
    <row r="15" spans="1:6" ht="15.6" thickBot="1" x14ac:dyDescent="0.3">
      <c r="A15" s="9">
        <v>880</v>
      </c>
      <c r="B15" s="10" t="s">
        <v>7</v>
      </c>
      <c r="C15" s="11">
        <f>SUM(C12:C14)</f>
        <v>13</v>
      </c>
      <c r="D15" s="12">
        <f>F12/C15</f>
        <v>5.7230769230769232</v>
      </c>
    </row>
    <row r="16" spans="1:6" ht="15" x14ac:dyDescent="0.25">
      <c r="A16" s="5">
        <v>881</v>
      </c>
      <c r="B16" s="6" t="s">
        <v>10</v>
      </c>
      <c r="C16" s="18">
        <v>0</v>
      </c>
      <c r="D16" s="19">
        <v>0</v>
      </c>
      <c r="F16" s="2">
        <f>(C16*D16)+(C17*D17)+(C18*D18)</f>
        <v>84.6</v>
      </c>
    </row>
    <row r="17" spans="1:9" ht="15" x14ac:dyDescent="0.25">
      <c r="A17" s="8">
        <v>881</v>
      </c>
      <c r="B17" s="3" t="s">
        <v>12</v>
      </c>
      <c r="C17" s="21">
        <v>16</v>
      </c>
      <c r="D17" s="20">
        <v>4.5999999999999996</v>
      </c>
    </row>
    <row r="18" spans="1:9" ht="15" x14ac:dyDescent="0.25">
      <c r="A18" s="8">
        <v>881</v>
      </c>
      <c r="B18" s="3" t="s">
        <v>11</v>
      </c>
      <c r="C18" s="21">
        <v>1</v>
      </c>
      <c r="D18" s="20">
        <v>11</v>
      </c>
    </row>
    <row r="19" spans="1:9" ht="15.6" thickBot="1" x14ac:dyDescent="0.3">
      <c r="A19" s="9">
        <v>881</v>
      </c>
      <c r="B19" s="10" t="s">
        <v>7</v>
      </c>
      <c r="C19" s="11">
        <f>SUM(C16:C18)</f>
        <v>17</v>
      </c>
      <c r="D19" s="12">
        <f>F16/C19</f>
        <v>4.9764705882352942</v>
      </c>
    </row>
    <row r="20" spans="1:9" ht="15" x14ac:dyDescent="0.25">
      <c r="A20" s="5">
        <v>882</v>
      </c>
      <c r="B20" s="6" t="s">
        <v>13</v>
      </c>
      <c r="C20" s="18">
        <v>37</v>
      </c>
      <c r="D20" s="19">
        <v>4.2</v>
      </c>
      <c r="F20" s="2">
        <f>(C20*D20)+(C21*D21)</f>
        <v>155.4</v>
      </c>
    </row>
    <row r="21" spans="1:9" ht="15" x14ac:dyDescent="0.25">
      <c r="A21" s="8">
        <v>882</v>
      </c>
      <c r="B21" s="3" t="s">
        <v>14</v>
      </c>
      <c r="C21" s="21">
        <v>0</v>
      </c>
      <c r="D21" s="20">
        <v>0</v>
      </c>
    </row>
    <row r="22" spans="1:9" ht="15.6" thickBot="1" x14ac:dyDescent="0.3">
      <c r="A22" s="9">
        <v>882</v>
      </c>
      <c r="B22" s="10" t="s">
        <v>7</v>
      </c>
      <c r="C22" s="11">
        <f>SUM(C20:C21)</f>
        <v>37</v>
      </c>
      <c r="D22" s="12">
        <f>F20/C22</f>
        <v>4.2</v>
      </c>
    </row>
    <row r="23" spans="1:9" ht="15" x14ac:dyDescent="0.25">
      <c r="A23" s="5">
        <v>884</v>
      </c>
      <c r="B23" s="6" t="s">
        <v>15</v>
      </c>
      <c r="C23" s="18">
        <v>0</v>
      </c>
      <c r="D23" s="19">
        <v>0</v>
      </c>
      <c r="F23" s="2">
        <f>(C23*D23)+(C24*D24)+(C25*D25)</f>
        <v>57</v>
      </c>
    </row>
    <row r="24" spans="1:9" ht="15" x14ac:dyDescent="0.25">
      <c r="A24" s="8">
        <v>884</v>
      </c>
      <c r="B24" s="3" t="s">
        <v>16</v>
      </c>
      <c r="C24" s="21">
        <v>6</v>
      </c>
      <c r="D24" s="20">
        <v>0</v>
      </c>
    </row>
    <row r="25" spans="1:9" ht="15" x14ac:dyDescent="0.25">
      <c r="A25" s="8">
        <v>884</v>
      </c>
      <c r="B25" s="3" t="s">
        <v>17</v>
      </c>
      <c r="C25" s="21">
        <v>38</v>
      </c>
      <c r="D25" s="20">
        <v>1.5</v>
      </c>
    </row>
    <row r="26" spans="1:9" ht="15.6" thickBot="1" x14ac:dyDescent="0.3">
      <c r="A26" s="9">
        <v>884</v>
      </c>
      <c r="B26" s="10" t="s">
        <v>7</v>
      </c>
      <c r="C26" s="11">
        <f>SUM(C23:C25)</f>
        <v>44</v>
      </c>
      <c r="D26" s="12">
        <f>F23/C26</f>
        <v>1.2954545454545454</v>
      </c>
    </row>
    <row r="27" spans="1:9" ht="15" x14ac:dyDescent="0.25">
      <c r="A27" s="29" t="s">
        <v>97</v>
      </c>
      <c r="B27" s="27" t="s">
        <v>64</v>
      </c>
      <c r="C27" s="28">
        <v>19</v>
      </c>
      <c r="D27" s="32">
        <v>11.4</v>
      </c>
      <c r="F27" s="2">
        <f>(C27*D27)+(C28*D28)</f>
        <v>226.6</v>
      </c>
    </row>
    <row r="28" spans="1:9" ht="15" x14ac:dyDescent="0.25">
      <c r="A28" s="29" t="s">
        <v>97</v>
      </c>
      <c r="B28" s="27" t="s">
        <v>91</v>
      </c>
      <c r="C28" s="28">
        <v>1</v>
      </c>
      <c r="D28" s="32">
        <v>10</v>
      </c>
    </row>
    <row r="29" spans="1:9" ht="15.6" thickBot="1" x14ac:dyDescent="0.3">
      <c r="A29" s="30" t="s">
        <v>97</v>
      </c>
      <c r="B29" s="25"/>
      <c r="C29" s="26">
        <f>SUM(C27:C28)</f>
        <v>20</v>
      </c>
      <c r="D29" s="12">
        <f>F27/C29</f>
        <v>11.33</v>
      </c>
    </row>
    <row r="30" spans="1:9" ht="15" x14ac:dyDescent="0.25">
      <c r="A30" s="5">
        <v>886</v>
      </c>
      <c r="B30" s="6" t="s">
        <v>18</v>
      </c>
      <c r="C30" s="18">
        <v>26</v>
      </c>
      <c r="D30" s="19">
        <v>4.3</v>
      </c>
      <c r="F30" s="2">
        <f>(C30*D30)+(C32*D32)+(C31*D31)</f>
        <v>111.8</v>
      </c>
    </row>
    <row r="31" spans="1:9" ht="15" x14ac:dyDescent="0.25">
      <c r="A31" s="8">
        <v>886</v>
      </c>
      <c r="B31" s="3" t="s">
        <v>90</v>
      </c>
      <c r="C31" s="4">
        <v>0</v>
      </c>
      <c r="D31" s="33">
        <v>0</v>
      </c>
      <c r="I31" s="2">
        <v>5</v>
      </c>
    </row>
    <row r="32" spans="1:9" ht="15" x14ac:dyDescent="0.25">
      <c r="A32" s="8">
        <v>886</v>
      </c>
      <c r="B32" s="3" t="s">
        <v>19</v>
      </c>
      <c r="C32" s="4">
        <v>0</v>
      </c>
      <c r="D32" s="15">
        <v>0</v>
      </c>
      <c r="I32" s="2">
        <v>0.2</v>
      </c>
    </row>
    <row r="33" spans="1:9" ht="15.6" thickBot="1" x14ac:dyDescent="0.3">
      <c r="A33" s="9">
        <v>886</v>
      </c>
      <c r="B33" s="10" t="s">
        <v>7</v>
      </c>
      <c r="C33" s="11">
        <f>SUM(C30:C32)</f>
        <v>26</v>
      </c>
      <c r="D33" s="12">
        <f>F30/C33</f>
        <v>4.3</v>
      </c>
      <c r="I33" s="2">
        <v>11.7</v>
      </c>
    </row>
    <row r="34" spans="1:9" ht="15" x14ac:dyDescent="0.25">
      <c r="A34" s="5">
        <v>887</v>
      </c>
      <c r="B34" s="6" t="s">
        <v>20</v>
      </c>
      <c r="C34" s="7">
        <v>1</v>
      </c>
      <c r="D34" s="14">
        <v>189</v>
      </c>
      <c r="F34" s="2">
        <f>(C34*D34)+(C35*D35)</f>
        <v>270</v>
      </c>
      <c r="I34" s="2">
        <v>5.7</v>
      </c>
    </row>
    <row r="35" spans="1:9" ht="15" x14ac:dyDescent="0.25">
      <c r="A35" s="8">
        <v>887</v>
      </c>
      <c r="B35" s="3" t="s">
        <v>21</v>
      </c>
      <c r="C35" s="21">
        <v>15</v>
      </c>
      <c r="D35" s="20">
        <v>5.4</v>
      </c>
      <c r="I35" s="24">
        <v>5</v>
      </c>
    </row>
    <row r="36" spans="1:9" ht="15.6" thickBot="1" x14ac:dyDescent="0.3">
      <c r="A36" s="9">
        <v>887</v>
      </c>
      <c r="B36" s="10" t="s">
        <v>7</v>
      </c>
      <c r="C36" s="11">
        <f>SUM(C34:C35)</f>
        <v>16</v>
      </c>
      <c r="D36" s="12">
        <f>F34/C36</f>
        <v>16.875</v>
      </c>
      <c r="I36" s="24">
        <v>4.2</v>
      </c>
    </row>
    <row r="37" spans="1:9" ht="15" x14ac:dyDescent="0.25">
      <c r="A37" s="5">
        <v>888</v>
      </c>
      <c r="B37" s="6" t="s">
        <v>22</v>
      </c>
      <c r="C37" s="18">
        <v>2</v>
      </c>
      <c r="D37" s="19">
        <v>10.5</v>
      </c>
      <c r="F37" s="2">
        <f>(C37*D37)+(C38*D38)+(C39*D39)+(C40*D40)</f>
        <v>225</v>
      </c>
      <c r="I37" s="24">
        <v>1.3</v>
      </c>
    </row>
    <row r="38" spans="1:9" ht="15" x14ac:dyDescent="0.25">
      <c r="A38" s="8">
        <v>888</v>
      </c>
      <c r="B38" s="3" t="s">
        <v>23</v>
      </c>
      <c r="C38" s="4">
        <v>4</v>
      </c>
      <c r="D38" s="15">
        <v>4.2</v>
      </c>
      <c r="I38" s="24">
        <v>11.3</v>
      </c>
    </row>
    <row r="39" spans="1:9" ht="15" x14ac:dyDescent="0.25">
      <c r="A39" s="8">
        <v>888</v>
      </c>
      <c r="B39" s="3" t="s">
        <v>24</v>
      </c>
      <c r="C39" s="21">
        <v>18</v>
      </c>
      <c r="D39" s="20">
        <v>10.4</v>
      </c>
      <c r="I39" s="24">
        <v>4.3</v>
      </c>
    </row>
    <row r="40" spans="1:9" ht="15" x14ac:dyDescent="0.25">
      <c r="A40" s="8">
        <v>888</v>
      </c>
      <c r="B40" s="3" t="s">
        <v>48</v>
      </c>
      <c r="C40" s="21">
        <v>0</v>
      </c>
      <c r="D40" s="20">
        <v>0</v>
      </c>
      <c r="I40" s="24">
        <v>16.899999999999999</v>
      </c>
    </row>
    <row r="41" spans="1:9" ht="15.6" thickBot="1" x14ac:dyDescent="0.3">
      <c r="A41" s="9">
        <v>888</v>
      </c>
      <c r="B41" s="10" t="s">
        <v>7</v>
      </c>
      <c r="C41" s="11">
        <f>SUM(C37:C40)</f>
        <v>24</v>
      </c>
      <c r="D41" s="12">
        <f>F37/C41</f>
        <v>9.375</v>
      </c>
      <c r="I41" s="24">
        <v>9.4</v>
      </c>
    </row>
    <row r="42" spans="1:9" ht="15" x14ac:dyDescent="0.25">
      <c r="A42" s="5">
        <v>889</v>
      </c>
      <c r="B42" s="6" t="s">
        <v>25</v>
      </c>
      <c r="C42" s="18">
        <v>30</v>
      </c>
      <c r="D42" s="19">
        <v>4.3</v>
      </c>
      <c r="F42" s="2">
        <f>(C42*D42)+(C43*D43)+(C44*D44)+(C45*D45)+(C46*D46)</f>
        <v>350.40000000000003</v>
      </c>
      <c r="I42" s="24">
        <v>5.9</v>
      </c>
    </row>
    <row r="43" spans="1:9" ht="15" x14ac:dyDescent="0.25">
      <c r="A43" s="8">
        <v>889</v>
      </c>
      <c r="B43" s="3" t="s">
        <v>26</v>
      </c>
      <c r="C43" s="21">
        <v>18</v>
      </c>
      <c r="D43" s="20">
        <v>0.6</v>
      </c>
      <c r="I43" s="24">
        <v>2.5</v>
      </c>
    </row>
    <row r="44" spans="1:9" ht="15" x14ac:dyDescent="0.25">
      <c r="A44" s="8">
        <v>889</v>
      </c>
      <c r="B44" s="3" t="s">
        <v>27</v>
      </c>
      <c r="C44" s="21">
        <v>0</v>
      </c>
      <c r="D44" s="20">
        <v>0</v>
      </c>
      <c r="I44" s="24">
        <v>2.8</v>
      </c>
    </row>
    <row r="45" spans="1:9" ht="15" x14ac:dyDescent="0.25">
      <c r="A45" s="8">
        <v>889</v>
      </c>
      <c r="B45" s="3" t="s">
        <v>28</v>
      </c>
      <c r="C45" s="21">
        <v>4</v>
      </c>
      <c r="D45" s="20">
        <v>39.700000000000003</v>
      </c>
      <c r="I45" s="24">
        <v>4.2</v>
      </c>
    </row>
    <row r="46" spans="1:9" ht="15" x14ac:dyDescent="0.25">
      <c r="A46" s="8">
        <v>889</v>
      </c>
      <c r="B46" s="3" t="s">
        <v>87</v>
      </c>
      <c r="C46" s="4">
        <v>7</v>
      </c>
      <c r="D46" s="33">
        <v>7.4</v>
      </c>
      <c r="I46" s="24">
        <v>1.8</v>
      </c>
    </row>
    <row r="47" spans="1:9" ht="15.6" thickBot="1" x14ac:dyDescent="0.3">
      <c r="A47" s="9">
        <v>889</v>
      </c>
      <c r="B47" s="10" t="s">
        <v>7</v>
      </c>
      <c r="C47" s="11">
        <f>SUM(C42:C46)</f>
        <v>59</v>
      </c>
      <c r="D47" s="12">
        <f>F42/C47</f>
        <v>5.9389830508474581</v>
      </c>
      <c r="I47" s="24">
        <v>0.3</v>
      </c>
    </row>
    <row r="48" spans="1:9" ht="15" x14ac:dyDescent="0.25">
      <c r="A48" s="5">
        <v>890</v>
      </c>
      <c r="B48" s="6" t="s">
        <v>29</v>
      </c>
      <c r="C48" s="18">
        <v>31</v>
      </c>
      <c r="D48" s="19">
        <v>2</v>
      </c>
      <c r="F48" s="2">
        <f>(C48*D48)+(C49*D49)</f>
        <v>84</v>
      </c>
      <c r="I48" s="24">
        <v>17.2</v>
      </c>
    </row>
    <row r="49" spans="1:9" ht="15" x14ac:dyDescent="0.25">
      <c r="A49" s="8">
        <v>890</v>
      </c>
      <c r="B49" s="3" t="s">
        <v>30</v>
      </c>
      <c r="C49" s="21">
        <v>2</v>
      </c>
      <c r="D49" s="20">
        <v>11</v>
      </c>
      <c r="I49" s="24">
        <v>3.4</v>
      </c>
    </row>
    <row r="50" spans="1:9" ht="15.6" thickBot="1" x14ac:dyDescent="0.3">
      <c r="A50" s="9">
        <v>890</v>
      </c>
      <c r="B50" s="10" t="s">
        <v>7</v>
      </c>
      <c r="C50" s="11">
        <f>SUM(C48:C49)</f>
        <v>33</v>
      </c>
      <c r="D50" s="12">
        <f>F48/C50</f>
        <v>2.5454545454545454</v>
      </c>
      <c r="I50" s="24">
        <v>0.2</v>
      </c>
    </row>
    <row r="51" spans="1:9" ht="15" x14ac:dyDescent="0.25">
      <c r="A51" s="5">
        <v>891</v>
      </c>
      <c r="B51" s="6" t="s">
        <v>31</v>
      </c>
      <c r="C51" s="7">
        <v>1</v>
      </c>
      <c r="D51" s="14">
        <v>3</v>
      </c>
      <c r="F51" s="2">
        <f>(C51*D51)+(C52*D52)+(C53*D53)</f>
        <v>60.900000000000006</v>
      </c>
      <c r="I51" s="44">
        <v>3.1</v>
      </c>
    </row>
    <row r="52" spans="1:9" ht="15" x14ac:dyDescent="0.25">
      <c r="A52" s="8">
        <v>891</v>
      </c>
      <c r="B52" s="3" t="s">
        <v>32</v>
      </c>
      <c r="C52" s="21">
        <v>12</v>
      </c>
      <c r="D52" s="20">
        <v>3.1</v>
      </c>
      <c r="I52" s="44">
        <v>5.4</v>
      </c>
    </row>
    <row r="53" spans="1:9" ht="15" x14ac:dyDescent="0.25">
      <c r="A53" s="8">
        <v>891</v>
      </c>
      <c r="B53" s="3" t="s">
        <v>33</v>
      </c>
      <c r="C53" s="21">
        <v>9</v>
      </c>
      <c r="D53" s="20">
        <v>2.2999999999999998</v>
      </c>
      <c r="I53" s="16">
        <f>SUM(I31:I52)/22</f>
        <v>5.536363636363637</v>
      </c>
    </row>
    <row r="54" spans="1:9" ht="15.6" thickBot="1" x14ac:dyDescent="0.3">
      <c r="A54" s="9">
        <v>891</v>
      </c>
      <c r="B54" s="10" t="s">
        <v>7</v>
      </c>
      <c r="C54" s="11">
        <f>SUM(C51:C53)</f>
        <v>22</v>
      </c>
      <c r="D54" s="12">
        <f>F51/C54</f>
        <v>2.7681818181818185</v>
      </c>
    </row>
    <row r="55" spans="1:9" ht="15" x14ac:dyDescent="0.25">
      <c r="A55" s="5">
        <v>892</v>
      </c>
      <c r="B55" s="6" t="s">
        <v>34</v>
      </c>
      <c r="C55" s="18">
        <v>48</v>
      </c>
      <c r="D55" s="19">
        <v>4.2</v>
      </c>
      <c r="F55" s="2">
        <f>(C55*D55)+(C56*D56)</f>
        <v>201.60000000000002</v>
      </c>
    </row>
    <row r="56" spans="1:9" ht="15" x14ac:dyDescent="0.25">
      <c r="A56" s="8">
        <v>892</v>
      </c>
      <c r="B56" s="3" t="s">
        <v>49</v>
      </c>
      <c r="C56" s="21">
        <v>0</v>
      </c>
      <c r="D56" s="20">
        <v>0</v>
      </c>
    </row>
    <row r="57" spans="1:9" ht="15.6" thickBot="1" x14ac:dyDescent="0.3">
      <c r="A57" s="9">
        <v>892</v>
      </c>
      <c r="B57" s="10" t="s">
        <v>7</v>
      </c>
      <c r="C57" s="11">
        <f>SUM(C55:C56)</f>
        <v>48</v>
      </c>
      <c r="D57" s="12">
        <f>F55/C57</f>
        <v>4.2</v>
      </c>
    </row>
    <row r="58" spans="1:9" ht="15" x14ac:dyDescent="0.25">
      <c r="A58" s="5">
        <v>893</v>
      </c>
      <c r="B58" s="6" t="s">
        <v>35</v>
      </c>
      <c r="C58" s="18">
        <v>40</v>
      </c>
      <c r="D58" s="19">
        <v>1.4</v>
      </c>
      <c r="F58" s="2">
        <f>(C58*D58)+(C60*D60)</f>
        <v>92</v>
      </c>
    </row>
    <row r="59" spans="1:9" ht="15" x14ac:dyDescent="0.25">
      <c r="A59" s="8">
        <v>893</v>
      </c>
      <c r="B59" s="3" t="s">
        <v>50</v>
      </c>
      <c r="C59" s="21">
        <v>0</v>
      </c>
      <c r="D59" s="20">
        <v>0</v>
      </c>
    </row>
    <row r="60" spans="1:9" ht="15" x14ac:dyDescent="0.25">
      <c r="A60" s="8">
        <v>893</v>
      </c>
      <c r="B60" s="3" t="s">
        <v>36</v>
      </c>
      <c r="C60" s="21">
        <v>12</v>
      </c>
      <c r="D60" s="20">
        <v>3</v>
      </c>
    </row>
    <row r="61" spans="1:9" ht="15.6" thickBot="1" x14ac:dyDescent="0.3">
      <c r="A61" s="9">
        <v>893</v>
      </c>
      <c r="B61" s="10" t="s">
        <v>7</v>
      </c>
      <c r="C61" s="11">
        <f>SUM(C58:C60)</f>
        <v>52</v>
      </c>
      <c r="D61" s="12">
        <f>F58/C61</f>
        <v>1.7692307692307692</v>
      </c>
    </row>
    <row r="62" spans="1:9" ht="15" x14ac:dyDescent="0.25">
      <c r="A62" s="5">
        <v>894</v>
      </c>
      <c r="B62" s="6" t="s">
        <v>37</v>
      </c>
      <c r="C62" s="18">
        <v>18</v>
      </c>
      <c r="D62" s="19">
        <v>0.3</v>
      </c>
      <c r="F62" s="2">
        <f>(C62*D62)+(C63*D63)+(C64*D64)</f>
        <v>7.3999999999999995</v>
      </c>
    </row>
    <row r="63" spans="1:9" ht="15" x14ac:dyDescent="0.25">
      <c r="A63" s="8">
        <v>894</v>
      </c>
      <c r="B63" s="3" t="s">
        <v>38</v>
      </c>
      <c r="C63" s="4">
        <v>1</v>
      </c>
      <c r="D63" s="15">
        <v>0</v>
      </c>
    </row>
    <row r="64" spans="1:9" ht="15" x14ac:dyDescent="0.25">
      <c r="A64" s="8">
        <v>894</v>
      </c>
      <c r="B64" s="3" t="s">
        <v>101</v>
      </c>
      <c r="C64" s="4">
        <v>5</v>
      </c>
      <c r="D64" s="15">
        <v>0.4</v>
      </c>
    </row>
    <row r="65" spans="1:6" ht="15.6" thickBot="1" x14ac:dyDescent="0.3">
      <c r="A65" s="9">
        <v>894</v>
      </c>
      <c r="B65" s="10" t="s">
        <v>7</v>
      </c>
      <c r="C65" s="11">
        <f>SUM(C62:C64)</f>
        <v>24</v>
      </c>
      <c r="D65" s="12">
        <f>F62/C65</f>
        <v>0.30833333333333329</v>
      </c>
    </row>
    <row r="66" spans="1:6" ht="15" x14ac:dyDescent="0.25">
      <c r="A66" s="5">
        <v>895</v>
      </c>
      <c r="B66" s="6" t="s">
        <v>39</v>
      </c>
      <c r="C66" s="7">
        <v>2</v>
      </c>
      <c r="D66" s="14">
        <v>28.5</v>
      </c>
      <c r="F66" s="2">
        <f>(C66*D66)+(C67*D67)</f>
        <v>841.9</v>
      </c>
    </row>
    <row r="67" spans="1:6" ht="15" x14ac:dyDescent="0.25">
      <c r="A67" s="8">
        <v>895</v>
      </c>
      <c r="B67" s="3" t="s">
        <v>40</v>
      </c>
      <c r="C67" s="21">
        <v>47</v>
      </c>
      <c r="D67" s="20">
        <v>16.7</v>
      </c>
    </row>
    <row r="68" spans="1:6" ht="15.6" thickBot="1" x14ac:dyDescent="0.3">
      <c r="A68" s="9">
        <v>895</v>
      </c>
      <c r="B68" s="10" t="s">
        <v>7</v>
      </c>
      <c r="C68" s="11">
        <f>SUM(C66:C67)</f>
        <v>49</v>
      </c>
      <c r="D68" s="12">
        <f>F66/C68</f>
        <v>17.181632653061225</v>
      </c>
    </row>
    <row r="69" spans="1:6" ht="15" x14ac:dyDescent="0.25">
      <c r="A69" s="5">
        <v>896</v>
      </c>
      <c r="B69" s="6" t="s">
        <v>41</v>
      </c>
      <c r="C69" s="18">
        <v>19</v>
      </c>
      <c r="D69" s="19">
        <v>9.8000000000000007</v>
      </c>
    </row>
    <row r="70" spans="1:6" ht="15.6" thickBot="1" x14ac:dyDescent="0.3">
      <c r="A70" s="9">
        <v>896</v>
      </c>
      <c r="B70" s="10" t="s">
        <v>7</v>
      </c>
      <c r="C70" s="10">
        <v>17</v>
      </c>
      <c r="D70" s="12">
        <v>3.4</v>
      </c>
    </row>
    <row r="71" spans="1:6" ht="15" x14ac:dyDescent="0.25">
      <c r="A71" s="5">
        <v>897</v>
      </c>
      <c r="B71" s="6" t="s">
        <v>42</v>
      </c>
      <c r="C71" s="7">
        <v>4</v>
      </c>
      <c r="D71" s="14">
        <v>0.5</v>
      </c>
      <c r="F71" s="2">
        <f>(C71*D71)+(C72*D72)</f>
        <v>8.8000000000000007</v>
      </c>
    </row>
    <row r="72" spans="1:6" ht="15" x14ac:dyDescent="0.25">
      <c r="A72" s="8">
        <v>897</v>
      </c>
      <c r="B72" s="3" t="s">
        <v>43</v>
      </c>
      <c r="C72" s="21">
        <v>34</v>
      </c>
      <c r="D72" s="20">
        <v>0.2</v>
      </c>
    </row>
    <row r="73" spans="1:6" ht="15.6" thickBot="1" x14ac:dyDescent="0.3">
      <c r="A73" s="9">
        <v>897</v>
      </c>
      <c r="B73" s="10" t="s">
        <v>7</v>
      </c>
      <c r="C73" s="11">
        <f>SUM(C71:C72)</f>
        <v>38</v>
      </c>
      <c r="D73" s="12">
        <f>F71/C73</f>
        <v>0.23157894736842108</v>
      </c>
    </row>
    <row r="74" spans="1:6" ht="15" x14ac:dyDescent="0.25">
      <c r="A74" s="5">
        <v>898</v>
      </c>
      <c r="B74" s="6" t="s">
        <v>44</v>
      </c>
      <c r="C74" s="18">
        <v>0</v>
      </c>
      <c r="D74" s="19">
        <v>0</v>
      </c>
      <c r="F74" s="2">
        <f>(C74*D74)+(C75*D75)</f>
        <v>65.100000000000009</v>
      </c>
    </row>
    <row r="75" spans="1:6" ht="15" x14ac:dyDescent="0.25">
      <c r="A75" s="8">
        <v>898</v>
      </c>
      <c r="B75" s="3" t="s">
        <v>45</v>
      </c>
      <c r="C75" s="21">
        <v>21</v>
      </c>
      <c r="D75" s="20">
        <v>3.1</v>
      </c>
    </row>
    <row r="76" spans="1:6" ht="15.6" thickBot="1" x14ac:dyDescent="0.3">
      <c r="A76" s="9">
        <v>898</v>
      </c>
      <c r="B76" s="10" t="s">
        <v>7</v>
      </c>
      <c r="C76" s="11">
        <f>SUM(C74:C75)</f>
        <v>21</v>
      </c>
      <c r="D76" s="12">
        <f>F74/C76</f>
        <v>3.1000000000000005</v>
      </c>
    </row>
    <row r="77" spans="1:6" ht="15" x14ac:dyDescent="0.25">
      <c r="A77" s="5">
        <v>899</v>
      </c>
      <c r="B77" s="6" t="s">
        <v>46</v>
      </c>
      <c r="C77" s="18">
        <v>19</v>
      </c>
      <c r="D77" s="19">
        <v>5.4</v>
      </c>
      <c r="F77" s="2">
        <f>(C77*D77)+(C78*D78)</f>
        <v>102.60000000000001</v>
      </c>
    </row>
    <row r="78" spans="1:6" ht="15" x14ac:dyDescent="0.25">
      <c r="A78" s="8">
        <v>899</v>
      </c>
      <c r="B78" s="3" t="s">
        <v>47</v>
      </c>
      <c r="C78" s="4">
        <v>0</v>
      </c>
      <c r="D78" s="15">
        <v>0</v>
      </c>
    </row>
    <row r="79" spans="1:6" ht="15.6" thickBot="1" x14ac:dyDescent="0.3">
      <c r="A79" s="9">
        <v>899</v>
      </c>
      <c r="B79" s="10" t="s">
        <v>7</v>
      </c>
      <c r="C79" s="11">
        <f>SUM(C77:C78)</f>
        <v>19</v>
      </c>
      <c r="D79" s="12">
        <f>F77/C79</f>
        <v>5.4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866EB-279E-4A55-A248-EAA1EE004367}">
  <dimension ref="A2:I79"/>
  <sheetViews>
    <sheetView topLeftCell="A41" workbookViewId="0">
      <selection activeCell="F59" sqref="F59"/>
    </sheetView>
  </sheetViews>
  <sheetFormatPr defaultColWidth="9.109375" defaultRowHeight="13.2" x14ac:dyDescent="0.25"/>
  <cols>
    <col min="1" max="2" width="12.6640625" style="2" customWidth="1"/>
    <col min="3" max="3" width="8.5546875" style="2" customWidth="1"/>
    <col min="4" max="4" width="19.109375" style="16" customWidth="1"/>
    <col min="5" max="7" width="10.44140625" style="2" customWidth="1"/>
    <col min="8" max="16384" width="9.109375" style="2"/>
  </cols>
  <sheetData>
    <row r="2" spans="1:6" ht="16.2" thickBot="1" x14ac:dyDescent="0.3">
      <c r="A2" s="1" t="s">
        <v>0</v>
      </c>
      <c r="B2" s="1" t="s">
        <v>1</v>
      </c>
      <c r="C2" s="1" t="s">
        <v>2</v>
      </c>
      <c r="D2" s="13" t="s">
        <v>3</v>
      </c>
    </row>
    <row r="3" spans="1:6" ht="15" x14ac:dyDescent="0.25">
      <c r="A3" s="47">
        <v>877</v>
      </c>
      <c r="B3" s="36" t="s">
        <v>98</v>
      </c>
      <c r="C3" s="36">
        <v>13</v>
      </c>
      <c r="D3" s="40">
        <v>3.3</v>
      </c>
    </row>
    <row r="4" spans="1:6" ht="16.2" thickBot="1" x14ac:dyDescent="0.3">
      <c r="A4" s="9">
        <v>877</v>
      </c>
      <c r="B4" s="42"/>
      <c r="C4" s="10">
        <v>13</v>
      </c>
      <c r="D4" s="12">
        <v>3.3</v>
      </c>
    </row>
    <row r="5" spans="1:6" ht="15" x14ac:dyDescent="0.25">
      <c r="A5" s="47">
        <v>878</v>
      </c>
      <c r="B5" s="36" t="s">
        <v>99</v>
      </c>
      <c r="C5" s="36">
        <v>1</v>
      </c>
      <c r="D5" s="40">
        <v>0</v>
      </c>
      <c r="F5" s="2">
        <f>(C5*D5)+(C6*D6)</f>
        <v>0</v>
      </c>
    </row>
    <row r="6" spans="1:6" ht="15" x14ac:dyDescent="0.25">
      <c r="A6" s="50" t="s">
        <v>95</v>
      </c>
      <c r="B6" s="27" t="s">
        <v>88</v>
      </c>
      <c r="C6" s="27">
        <v>8</v>
      </c>
      <c r="D6" s="49">
        <v>0</v>
      </c>
      <c r="F6" s="16"/>
    </row>
    <row r="7" spans="1:6" ht="16.2" thickBot="1" x14ac:dyDescent="0.3">
      <c r="A7" s="41"/>
      <c r="B7" s="42"/>
      <c r="C7" s="10">
        <v>26</v>
      </c>
      <c r="D7" s="12">
        <f>F5/C7</f>
        <v>0</v>
      </c>
      <c r="F7" s="16"/>
    </row>
    <row r="8" spans="1:6" ht="15" x14ac:dyDescent="0.25">
      <c r="A8" s="17" t="s">
        <v>96</v>
      </c>
      <c r="B8" s="6" t="s">
        <v>4</v>
      </c>
      <c r="C8" s="18">
        <v>28</v>
      </c>
      <c r="D8" s="19">
        <v>17.899999999999999</v>
      </c>
      <c r="F8" s="2">
        <f>(C8*D8)+(C9*D9)+(C10*D10)</f>
        <v>595.19999999999993</v>
      </c>
    </row>
    <row r="9" spans="1:6" ht="15" x14ac:dyDescent="0.25">
      <c r="A9" s="8">
        <v>879</v>
      </c>
      <c r="B9" s="3" t="s">
        <v>5</v>
      </c>
      <c r="C9" s="21">
        <v>5</v>
      </c>
      <c r="D9" s="20">
        <v>11.2</v>
      </c>
    </row>
    <row r="10" spans="1:6" ht="15" x14ac:dyDescent="0.25">
      <c r="A10" s="8">
        <v>879</v>
      </c>
      <c r="B10" s="3" t="s">
        <v>6</v>
      </c>
      <c r="C10" s="21">
        <v>4</v>
      </c>
      <c r="D10" s="20">
        <v>9.5</v>
      </c>
    </row>
    <row r="11" spans="1:6" ht="15.6" thickBot="1" x14ac:dyDescent="0.3">
      <c r="A11" s="9">
        <v>879</v>
      </c>
      <c r="B11" s="10" t="s">
        <v>7</v>
      </c>
      <c r="C11" s="11">
        <f>SUM(C8:C10)</f>
        <v>37</v>
      </c>
      <c r="D11" s="12">
        <f>F8/C11</f>
        <v>16.086486486486486</v>
      </c>
    </row>
    <row r="12" spans="1:6" ht="15" x14ac:dyDescent="0.25">
      <c r="A12" s="5">
        <v>880</v>
      </c>
      <c r="B12" s="6" t="s">
        <v>8</v>
      </c>
      <c r="C12" s="18">
        <v>1</v>
      </c>
      <c r="D12" s="19">
        <v>3</v>
      </c>
      <c r="F12" s="2">
        <f>(C12*D12)+(C14*D14)+(C13*D13)</f>
        <v>91.2</v>
      </c>
    </row>
    <row r="13" spans="1:6" ht="15" x14ac:dyDescent="0.25">
      <c r="A13" s="8">
        <v>880</v>
      </c>
      <c r="B13" s="3" t="s">
        <v>92</v>
      </c>
      <c r="C13" s="34">
        <v>18</v>
      </c>
      <c r="D13" s="35">
        <v>4.9000000000000004</v>
      </c>
    </row>
    <row r="14" spans="1:6" ht="15" x14ac:dyDescent="0.25">
      <c r="A14" s="8">
        <v>880</v>
      </c>
      <c r="B14" s="3" t="s">
        <v>9</v>
      </c>
      <c r="C14" s="21">
        <v>0</v>
      </c>
      <c r="D14" s="20">
        <v>0</v>
      </c>
    </row>
    <row r="15" spans="1:6" ht="15.6" thickBot="1" x14ac:dyDescent="0.3">
      <c r="A15" s="9">
        <v>880</v>
      </c>
      <c r="B15" s="10" t="s">
        <v>7</v>
      </c>
      <c r="C15" s="11">
        <f>SUM(C12:C14)</f>
        <v>19</v>
      </c>
      <c r="D15" s="12">
        <f>F12/C15</f>
        <v>4.8</v>
      </c>
    </row>
    <row r="16" spans="1:6" ht="15" x14ac:dyDescent="0.25">
      <c r="A16" s="5">
        <v>881</v>
      </c>
      <c r="B16" s="6" t="s">
        <v>10</v>
      </c>
      <c r="C16" s="18">
        <v>0</v>
      </c>
      <c r="D16" s="19">
        <v>0</v>
      </c>
      <c r="F16" s="2">
        <f>(C16*D16)+(C17*D17)+(C18*D18)</f>
        <v>217.20000000000002</v>
      </c>
    </row>
    <row r="17" spans="1:9" ht="15" x14ac:dyDescent="0.25">
      <c r="A17" s="8">
        <v>881</v>
      </c>
      <c r="B17" s="3" t="s">
        <v>12</v>
      </c>
      <c r="C17" s="21">
        <v>26</v>
      </c>
      <c r="D17" s="20">
        <v>7.2</v>
      </c>
    </row>
    <row r="18" spans="1:9" ht="15" x14ac:dyDescent="0.25">
      <c r="A18" s="8">
        <v>881</v>
      </c>
      <c r="B18" s="3" t="s">
        <v>11</v>
      </c>
      <c r="C18" s="21">
        <v>5</v>
      </c>
      <c r="D18" s="20">
        <v>6</v>
      </c>
    </row>
    <row r="19" spans="1:9" ht="15.6" thickBot="1" x14ac:dyDescent="0.3">
      <c r="A19" s="9">
        <v>881</v>
      </c>
      <c r="B19" s="10" t="s">
        <v>7</v>
      </c>
      <c r="C19" s="11">
        <f>SUM(C16:C18)</f>
        <v>31</v>
      </c>
      <c r="D19" s="12">
        <f>F16/C19</f>
        <v>7.0064516129032262</v>
      </c>
    </row>
    <row r="20" spans="1:9" ht="15" x14ac:dyDescent="0.25">
      <c r="A20" s="5">
        <v>882</v>
      </c>
      <c r="B20" s="6" t="s">
        <v>13</v>
      </c>
      <c r="C20" s="18">
        <v>38</v>
      </c>
      <c r="D20" s="19">
        <v>4.4000000000000004</v>
      </c>
      <c r="F20" s="2">
        <f>(C20*D20)+(C21*D21)</f>
        <v>193</v>
      </c>
    </row>
    <row r="21" spans="1:9" ht="15" x14ac:dyDescent="0.25">
      <c r="A21" s="8">
        <v>882</v>
      </c>
      <c r="B21" s="3" t="s">
        <v>14</v>
      </c>
      <c r="C21" s="21">
        <v>3</v>
      </c>
      <c r="D21" s="20">
        <v>8.6</v>
      </c>
    </row>
    <row r="22" spans="1:9" ht="15.6" thickBot="1" x14ac:dyDescent="0.3">
      <c r="A22" s="9">
        <v>882</v>
      </c>
      <c r="B22" s="10" t="s">
        <v>7</v>
      </c>
      <c r="C22" s="11">
        <f>SUM(C20:C21)</f>
        <v>41</v>
      </c>
      <c r="D22" s="12">
        <f>F20/C22</f>
        <v>4.7073170731707314</v>
      </c>
    </row>
    <row r="23" spans="1:9" ht="15" x14ac:dyDescent="0.25">
      <c r="A23" s="5">
        <v>884</v>
      </c>
      <c r="B23" s="6" t="s">
        <v>15</v>
      </c>
      <c r="C23" s="18">
        <v>2</v>
      </c>
      <c r="D23" s="19">
        <v>5</v>
      </c>
      <c r="F23" s="2">
        <f>(C23*D23)+(C24*D24)+(C25*D25)</f>
        <v>22</v>
      </c>
    </row>
    <row r="24" spans="1:9" ht="15" x14ac:dyDescent="0.25">
      <c r="A24" s="8">
        <v>884</v>
      </c>
      <c r="B24" s="3" t="s">
        <v>16</v>
      </c>
      <c r="C24" s="21">
        <v>2</v>
      </c>
      <c r="D24" s="20">
        <v>6</v>
      </c>
    </row>
    <row r="25" spans="1:9" ht="15" x14ac:dyDescent="0.25">
      <c r="A25" s="8">
        <v>884</v>
      </c>
      <c r="B25" s="3" t="s">
        <v>17</v>
      </c>
      <c r="C25" s="21">
        <v>38</v>
      </c>
      <c r="D25" s="20">
        <v>0</v>
      </c>
    </row>
    <row r="26" spans="1:9" ht="15.6" thickBot="1" x14ac:dyDescent="0.3">
      <c r="A26" s="9">
        <v>884</v>
      </c>
      <c r="B26" s="10" t="s">
        <v>7</v>
      </c>
      <c r="C26" s="11">
        <f>SUM(C23:C25)</f>
        <v>42</v>
      </c>
      <c r="D26" s="12">
        <f>F23/C26</f>
        <v>0.52380952380952384</v>
      </c>
    </row>
    <row r="27" spans="1:9" ht="15" x14ac:dyDescent="0.25">
      <c r="A27" s="29" t="s">
        <v>97</v>
      </c>
      <c r="B27" s="27" t="s">
        <v>64</v>
      </c>
      <c r="C27" s="28">
        <v>21</v>
      </c>
      <c r="D27" s="32">
        <v>14.4</v>
      </c>
      <c r="F27" s="2">
        <f>(C27*D27)+(C28*D28)</f>
        <v>347.40000000000003</v>
      </c>
    </row>
    <row r="28" spans="1:9" ht="15" x14ac:dyDescent="0.25">
      <c r="A28" s="29" t="s">
        <v>97</v>
      </c>
      <c r="B28" s="27" t="s">
        <v>91</v>
      </c>
      <c r="C28" s="28">
        <v>5</v>
      </c>
      <c r="D28" s="32">
        <v>9</v>
      </c>
    </row>
    <row r="29" spans="1:9" ht="15.6" thickBot="1" x14ac:dyDescent="0.3">
      <c r="A29" s="30" t="s">
        <v>97</v>
      </c>
      <c r="B29" s="25"/>
      <c r="C29" s="26">
        <f>SUM(C27:C28)</f>
        <v>26</v>
      </c>
      <c r="D29" s="12">
        <f>F27/C29</f>
        <v>13.361538461538462</v>
      </c>
    </row>
    <row r="30" spans="1:9" ht="15" x14ac:dyDescent="0.25">
      <c r="A30" s="5">
        <v>886</v>
      </c>
      <c r="B30" s="6" t="s">
        <v>18</v>
      </c>
      <c r="C30" s="18">
        <v>27</v>
      </c>
      <c r="D30" s="19">
        <v>2</v>
      </c>
      <c r="F30" s="2">
        <f>(C30*D30)+(C32*D32)+(C31*D31)</f>
        <v>59</v>
      </c>
    </row>
    <row r="31" spans="1:9" ht="15" x14ac:dyDescent="0.25">
      <c r="A31" s="8">
        <v>886</v>
      </c>
      <c r="B31" s="3" t="s">
        <v>90</v>
      </c>
      <c r="C31" s="4">
        <v>0</v>
      </c>
      <c r="D31" s="33">
        <v>0</v>
      </c>
      <c r="I31" s="2">
        <v>3.3</v>
      </c>
    </row>
    <row r="32" spans="1:9" ht="15" x14ac:dyDescent="0.25">
      <c r="A32" s="8">
        <v>886</v>
      </c>
      <c r="B32" s="3" t="s">
        <v>19</v>
      </c>
      <c r="C32" s="4">
        <v>1</v>
      </c>
      <c r="D32" s="15">
        <v>5</v>
      </c>
      <c r="I32" s="2">
        <v>0</v>
      </c>
    </row>
    <row r="33" spans="1:9" ht="15.6" thickBot="1" x14ac:dyDescent="0.3">
      <c r="A33" s="9">
        <v>886</v>
      </c>
      <c r="B33" s="10" t="s">
        <v>7</v>
      </c>
      <c r="C33" s="11">
        <f>SUM(C30:C32)</f>
        <v>28</v>
      </c>
      <c r="D33" s="12">
        <f>F30/C33</f>
        <v>2.1071428571428572</v>
      </c>
      <c r="I33" s="2">
        <v>16.100000000000001</v>
      </c>
    </row>
    <row r="34" spans="1:9" ht="15" x14ac:dyDescent="0.25">
      <c r="A34" s="5">
        <v>887</v>
      </c>
      <c r="B34" s="6" t="s">
        <v>20</v>
      </c>
      <c r="C34" s="7">
        <v>2</v>
      </c>
      <c r="D34" s="14">
        <v>0</v>
      </c>
      <c r="F34" s="2">
        <f>(C34*D34)+(C35*D35)</f>
        <v>22.1</v>
      </c>
      <c r="I34" s="2">
        <v>4.8</v>
      </c>
    </row>
    <row r="35" spans="1:9" ht="15" x14ac:dyDescent="0.25">
      <c r="A35" s="8">
        <v>887</v>
      </c>
      <c r="B35" s="3" t="s">
        <v>21</v>
      </c>
      <c r="C35" s="21">
        <v>17</v>
      </c>
      <c r="D35" s="20">
        <v>1.3</v>
      </c>
      <c r="I35" s="24">
        <v>7</v>
      </c>
    </row>
    <row r="36" spans="1:9" ht="15.6" thickBot="1" x14ac:dyDescent="0.3">
      <c r="A36" s="9">
        <v>887</v>
      </c>
      <c r="B36" s="10" t="s">
        <v>7</v>
      </c>
      <c r="C36" s="11">
        <f>SUM(C34:C35)</f>
        <v>19</v>
      </c>
      <c r="D36" s="12">
        <f>F34/C36</f>
        <v>1.1631578947368422</v>
      </c>
      <c r="I36" s="24">
        <v>4.7</v>
      </c>
    </row>
    <row r="37" spans="1:9" ht="15" x14ac:dyDescent="0.25">
      <c r="A37" s="5">
        <v>888</v>
      </c>
      <c r="B37" s="6" t="s">
        <v>22</v>
      </c>
      <c r="C37" s="18">
        <v>1</v>
      </c>
      <c r="D37" s="19">
        <v>0</v>
      </c>
      <c r="F37" s="2">
        <f>(C37*D37)+(C38*D38)+(C39*D39)+(C40*D40)</f>
        <v>287</v>
      </c>
      <c r="I37" s="24">
        <v>0.5</v>
      </c>
    </row>
    <row r="38" spans="1:9" ht="15" x14ac:dyDescent="0.25">
      <c r="A38" s="8">
        <v>888</v>
      </c>
      <c r="B38" s="3" t="s">
        <v>23</v>
      </c>
      <c r="C38" s="4">
        <v>5</v>
      </c>
      <c r="D38" s="15">
        <v>9</v>
      </c>
      <c r="I38" s="24">
        <v>13.4</v>
      </c>
    </row>
    <row r="39" spans="1:9" ht="15" x14ac:dyDescent="0.25">
      <c r="A39" s="8">
        <v>888</v>
      </c>
      <c r="B39" s="3" t="s">
        <v>24</v>
      </c>
      <c r="C39" s="21">
        <v>10</v>
      </c>
      <c r="D39" s="20">
        <v>23.6</v>
      </c>
      <c r="I39" s="24">
        <v>2.1</v>
      </c>
    </row>
    <row r="40" spans="1:9" ht="15" x14ac:dyDescent="0.25">
      <c r="A40" s="8">
        <v>888</v>
      </c>
      <c r="B40" s="3" t="s">
        <v>48</v>
      </c>
      <c r="C40" s="21">
        <v>1</v>
      </c>
      <c r="D40" s="20">
        <v>6</v>
      </c>
      <c r="I40" s="24">
        <v>1.2</v>
      </c>
    </row>
    <row r="41" spans="1:9" ht="15.6" thickBot="1" x14ac:dyDescent="0.3">
      <c r="A41" s="9">
        <v>888</v>
      </c>
      <c r="B41" s="10" t="s">
        <v>7</v>
      </c>
      <c r="C41" s="11">
        <f>SUM(C37:C40)</f>
        <v>17</v>
      </c>
      <c r="D41" s="12">
        <f>F37/C41</f>
        <v>16.882352941176471</v>
      </c>
      <c r="I41" s="24">
        <v>16.899999999999999</v>
      </c>
    </row>
    <row r="42" spans="1:9" ht="15" x14ac:dyDescent="0.25">
      <c r="A42" s="5">
        <v>889</v>
      </c>
      <c r="B42" s="6" t="s">
        <v>25</v>
      </c>
      <c r="C42" s="18">
        <v>17</v>
      </c>
      <c r="D42" s="19">
        <v>8.1999999999999993</v>
      </c>
      <c r="F42" s="2">
        <f>(C42*D42)+(C43*D43)+(C44*D44)+(C45*D45)+(C46*D46)</f>
        <v>195.59999999999997</v>
      </c>
      <c r="I42" s="24">
        <v>4.9000000000000004</v>
      </c>
    </row>
    <row r="43" spans="1:9" ht="15" x14ac:dyDescent="0.25">
      <c r="A43" s="8">
        <v>889</v>
      </c>
      <c r="B43" s="3" t="s">
        <v>26</v>
      </c>
      <c r="C43" s="21">
        <v>16</v>
      </c>
      <c r="D43" s="20">
        <v>1.7</v>
      </c>
      <c r="I43" s="24">
        <v>4</v>
      </c>
    </row>
    <row r="44" spans="1:9" ht="15" x14ac:dyDescent="0.25">
      <c r="A44" s="8">
        <v>889</v>
      </c>
      <c r="B44" s="3" t="s">
        <v>27</v>
      </c>
      <c r="C44" s="21">
        <v>0</v>
      </c>
      <c r="D44" s="20">
        <v>0</v>
      </c>
      <c r="I44" s="24">
        <v>2.1</v>
      </c>
    </row>
    <row r="45" spans="1:9" ht="15" x14ac:dyDescent="0.25">
      <c r="A45" s="8">
        <v>889</v>
      </c>
      <c r="B45" s="3" t="s">
        <v>28</v>
      </c>
      <c r="C45" s="21">
        <v>2</v>
      </c>
      <c r="D45" s="20">
        <v>7.5</v>
      </c>
      <c r="I45" s="24">
        <v>4.9000000000000004</v>
      </c>
    </row>
    <row r="46" spans="1:9" ht="15" x14ac:dyDescent="0.25">
      <c r="A46" s="8">
        <v>889</v>
      </c>
      <c r="B46" s="3" t="s">
        <v>87</v>
      </c>
      <c r="C46" s="4">
        <v>5</v>
      </c>
      <c r="D46" s="33">
        <v>2.8</v>
      </c>
      <c r="I46" s="24">
        <v>8.3000000000000007</v>
      </c>
    </row>
    <row r="47" spans="1:9" ht="15.6" thickBot="1" x14ac:dyDescent="0.3">
      <c r="A47" s="9">
        <v>889</v>
      </c>
      <c r="B47" s="10" t="s">
        <v>7</v>
      </c>
      <c r="C47" s="11">
        <f>SUM(C42:C46)</f>
        <v>40</v>
      </c>
      <c r="D47" s="12">
        <f>F42/C47</f>
        <v>4.8899999999999988</v>
      </c>
      <c r="I47" s="24">
        <v>0</v>
      </c>
    </row>
    <row r="48" spans="1:9" ht="15" x14ac:dyDescent="0.25">
      <c r="A48" s="5">
        <v>890</v>
      </c>
      <c r="B48" s="6" t="s">
        <v>29</v>
      </c>
      <c r="C48" s="18">
        <v>31</v>
      </c>
      <c r="D48" s="19">
        <v>4</v>
      </c>
      <c r="F48" s="2">
        <f>(C48*D48)+(C49*D49)</f>
        <v>124</v>
      </c>
      <c r="I48" s="24">
        <v>16.7</v>
      </c>
    </row>
    <row r="49" spans="1:9" ht="15" x14ac:dyDescent="0.25">
      <c r="A49" s="8">
        <v>890</v>
      </c>
      <c r="B49" s="3" t="s">
        <v>30</v>
      </c>
      <c r="C49" s="21">
        <v>0</v>
      </c>
      <c r="D49" s="20">
        <v>0</v>
      </c>
      <c r="I49" s="24">
        <v>12.5</v>
      </c>
    </row>
    <row r="50" spans="1:9" ht="15.6" thickBot="1" x14ac:dyDescent="0.3">
      <c r="A50" s="9">
        <v>890</v>
      </c>
      <c r="B50" s="10" t="s">
        <v>7</v>
      </c>
      <c r="C50" s="11">
        <f>SUM(C48:C49)</f>
        <v>31</v>
      </c>
      <c r="D50" s="12">
        <f>F48/C50</f>
        <v>4</v>
      </c>
      <c r="I50" s="24">
        <v>0.6</v>
      </c>
    </row>
    <row r="51" spans="1:9" ht="15" x14ac:dyDescent="0.25">
      <c r="A51" s="5">
        <v>891</v>
      </c>
      <c r="B51" s="6" t="s">
        <v>31</v>
      </c>
      <c r="C51" s="7">
        <v>1</v>
      </c>
      <c r="D51" s="14">
        <v>0</v>
      </c>
      <c r="F51" s="2">
        <f>(C51*D51)+(C52*D52)+(C53*D53)</f>
        <v>48.8</v>
      </c>
      <c r="I51" s="44">
        <v>1.7</v>
      </c>
    </row>
    <row r="52" spans="1:9" ht="15" x14ac:dyDescent="0.25">
      <c r="A52" s="8">
        <v>891</v>
      </c>
      <c r="B52" s="3" t="s">
        <v>32</v>
      </c>
      <c r="C52" s="21">
        <v>13</v>
      </c>
      <c r="D52" s="20">
        <v>2.2999999999999998</v>
      </c>
      <c r="I52" s="16">
        <v>6.6</v>
      </c>
    </row>
    <row r="53" spans="1:9" ht="15" x14ac:dyDescent="0.25">
      <c r="A53" s="8">
        <v>891</v>
      </c>
      <c r="B53" s="3" t="s">
        <v>33</v>
      </c>
      <c r="C53" s="21">
        <v>9</v>
      </c>
      <c r="D53" s="20">
        <v>2.1</v>
      </c>
      <c r="I53" s="16">
        <f>SUM(I31:I52)/22</f>
        <v>6.0136363636363646</v>
      </c>
    </row>
    <row r="54" spans="1:9" ht="15.6" thickBot="1" x14ac:dyDescent="0.3">
      <c r="A54" s="9">
        <v>891</v>
      </c>
      <c r="B54" s="10" t="s">
        <v>7</v>
      </c>
      <c r="C54" s="11">
        <f>SUM(C51:C53)</f>
        <v>23</v>
      </c>
      <c r="D54" s="12">
        <f>F51/C54</f>
        <v>2.1217391304347823</v>
      </c>
    </row>
    <row r="55" spans="1:9" ht="15" x14ac:dyDescent="0.25">
      <c r="A55" s="5">
        <v>892</v>
      </c>
      <c r="B55" s="6" t="s">
        <v>34</v>
      </c>
      <c r="C55" s="18">
        <v>38</v>
      </c>
      <c r="D55" s="19">
        <v>4.7</v>
      </c>
      <c r="F55" s="2">
        <f>(C55*D55)+(C56*D56)</f>
        <v>197.6</v>
      </c>
    </row>
    <row r="56" spans="1:9" ht="15" x14ac:dyDescent="0.25">
      <c r="A56" s="8">
        <v>892</v>
      </c>
      <c r="B56" s="3" t="s">
        <v>49</v>
      </c>
      <c r="C56" s="21">
        <v>2</v>
      </c>
      <c r="D56" s="20">
        <v>9.5</v>
      </c>
    </row>
    <row r="57" spans="1:9" ht="15.6" thickBot="1" x14ac:dyDescent="0.3">
      <c r="A57" s="9">
        <v>892</v>
      </c>
      <c r="B57" s="10" t="s">
        <v>7</v>
      </c>
      <c r="C57" s="11">
        <f>SUM(C55:C56)</f>
        <v>40</v>
      </c>
      <c r="D57" s="12">
        <f>F55/C57</f>
        <v>4.9399999999999995</v>
      </c>
    </row>
    <row r="58" spans="1:9" ht="15" x14ac:dyDescent="0.25">
      <c r="A58" s="5">
        <v>893</v>
      </c>
      <c r="B58" s="6" t="s">
        <v>35</v>
      </c>
      <c r="C58" s="18">
        <v>23</v>
      </c>
      <c r="D58" s="19">
        <v>5.7</v>
      </c>
      <c r="F58" s="2">
        <f>(C58*D58)+(C60*D60)+(C59*D59)</f>
        <v>323.10000000000002</v>
      </c>
    </row>
    <row r="59" spans="1:9" ht="15" x14ac:dyDescent="0.25">
      <c r="A59" s="8">
        <v>893</v>
      </c>
      <c r="B59" s="3" t="s">
        <v>50</v>
      </c>
      <c r="C59" s="21">
        <v>0</v>
      </c>
      <c r="D59" s="20">
        <v>0</v>
      </c>
    </row>
    <row r="60" spans="1:9" ht="15" x14ac:dyDescent="0.25">
      <c r="A60" s="8">
        <v>893</v>
      </c>
      <c r="B60" s="3" t="s">
        <v>36</v>
      </c>
      <c r="C60" s="21">
        <v>16</v>
      </c>
      <c r="D60" s="20">
        <v>12</v>
      </c>
    </row>
    <row r="61" spans="1:9" ht="15.6" thickBot="1" x14ac:dyDescent="0.3">
      <c r="A61" s="9">
        <v>893</v>
      </c>
      <c r="B61" s="10" t="s">
        <v>7</v>
      </c>
      <c r="C61" s="11">
        <f>SUM(C58:C60)</f>
        <v>39</v>
      </c>
      <c r="D61" s="12">
        <f>F58/C61</f>
        <v>8.2846153846153854</v>
      </c>
    </row>
    <row r="62" spans="1:9" ht="15" x14ac:dyDescent="0.25">
      <c r="A62" s="5">
        <v>894</v>
      </c>
      <c r="B62" s="6" t="s">
        <v>37</v>
      </c>
      <c r="C62" s="18">
        <v>36</v>
      </c>
      <c r="D62" s="19">
        <v>0</v>
      </c>
      <c r="F62" s="2">
        <f>(C62*D62)+(C63*D63)+(C64*D64)</f>
        <v>0</v>
      </c>
    </row>
    <row r="63" spans="1:9" ht="15" x14ac:dyDescent="0.25">
      <c r="A63" s="8">
        <v>894</v>
      </c>
      <c r="B63" s="3" t="s">
        <v>38</v>
      </c>
      <c r="C63" s="4">
        <v>0</v>
      </c>
      <c r="D63" s="15">
        <v>0</v>
      </c>
    </row>
    <row r="64" spans="1:9" ht="15" x14ac:dyDescent="0.25">
      <c r="A64" s="8">
        <v>894</v>
      </c>
      <c r="B64" s="3" t="s">
        <v>101</v>
      </c>
      <c r="C64" s="4">
        <v>4</v>
      </c>
      <c r="D64" s="15">
        <v>0</v>
      </c>
    </row>
    <row r="65" spans="1:6" ht="15.6" thickBot="1" x14ac:dyDescent="0.3">
      <c r="A65" s="9">
        <v>894</v>
      </c>
      <c r="B65" s="10" t="s">
        <v>7</v>
      </c>
      <c r="C65" s="11">
        <f>SUM(C62:C64)</f>
        <v>40</v>
      </c>
      <c r="D65" s="12">
        <f>F62/C65</f>
        <v>0</v>
      </c>
    </row>
    <row r="66" spans="1:6" ht="15" x14ac:dyDescent="0.25">
      <c r="A66" s="5">
        <v>895</v>
      </c>
      <c r="B66" s="6" t="s">
        <v>39</v>
      </c>
      <c r="C66" s="7">
        <v>3</v>
      </c>
      <c r="D66" s="14">
        <v>20</v>
      </c>
      <c r="F66" s="2">
        <f>(C66*D66)+(C67*D67)</f>
        <v>967.5</v>
      </c>
    </row>
    <row r="67" spans="1:6" ht="15" x14ac:dyDescent="0.25">
      <c r="A67" s="8">
        <v>895</v>
      </c>
      <c r="B67" s="3" t="s">
        <v>40</v>
      </c>
      <c r="C67" s="21">
        <v>55</v>
      </c>
      <c r="D67" s="20">
        <v>16.5</v>
      </c>
    </row>
    <row r="68" spans="1:6" ht="15.6" thickBot="1" x14ac:dyDescent="0.3">
      <c r="A68" s="9">
        <v>895</v>
      </c>
      <c r="B68" s="10" t="s">
        <v>7</v>
      </c>
      <c r="C68" s="11">
        <f>SUM(C66:C67)</f>
        <v>58</v>
      </c>
      <c r="D68" s="12">
        <f>F66/C68</f>
        <v>16.681034482758619</v>
      </c>
    </row>
    <row r="69" spans="1:6" ht="15" x14ac:dyDescent="0.25">
      <c r="A69" s="5">
        <v>896</v>
      </c>
      <c r="B69" s="6" t="s">
        <v>41</v>
      </c>
      <c r="C69" s="18">
        <v>19</v>
      </c>
      <c r="D69" s="19">
        <v>12.5</v>
      </c>
    </row>
    <row r="70" spans="1:6" ht="15.6" thickBot="1" x14ac:dyDescent="0.3">
      <c r="A70" s="9">
        <v>896</v>
      </c>
      <c r="B70" s="10" t="s">
        <v>7</v>
      </c>
      <c r="C70" s="10">
        <v>19</v>
      </c>
      <c r="D70" s="12">
        <v>12.5</v>
      </c>
    </row>
    <row r="71" spans="1:6" ht="15" x14ac:dyDescent="0.25">
      <c r="A71" s="5">
        <v>897</v>
      </c>
      <c r="B71" s="6" t="s">
        <v>42</v>
      </c>
      <c r="C71" s="7">
        <v>2</v>
      </c>
      <c r="D71" s="14">
        <v>5</v>
      </c>
      <c r="F71" s="2">
        <f>(C71*D71)+(C72*D72)</f>
        <v>14.4</v>
      </c>
    </row>
    <row r="72" spans="1:6" ht="15" x14ac:dyDescent="0.25">
      <c r="A72" s="8">
        <v>897</v>
      </c>
      <c r="B72" s="3" t="s">
        <v>43</v>
      </c>
      <c r="C72" s="21">
        <v>22</v>
      </c>
      <c r="D72" s="20">
        <v>0.2</v>
      </c>
    </row>
    <row r="73" spans="1:6" ht="15.6" thickBot="1" x14ac:dyDescent="0.3">
      <c r="A73" s="9">
        <v>897</v>
      </c>
      <c r="B73" s="10" t="s">
        <v>7</v>
      </c>
      <c r="C73" s="11">
        <f>SUM(C71:C72)</f>
        <v>24</v>
      </c>
      <c r="D73" s="12">
        <f>F71/C73</f>
        <v>0.6</v>
      </c>
    </row>
    <row r="74" spans="1:6" ht="15" x14ac:dyDescent="0.25">
      <c r="A74" s="5">
        <v>898</v>
      </c>
      <c r="B74" s="6" t="s">
        <v>44</v>
      </c>
      <c r="C74" s="18">
        <v>0</v>
      </c>
      <c r="D74" s="19">
        <v>0</v>
      </c>
      <c r="F74" s="2">
        <f>(C74*D74)+(C75*D75)</f>
        <v>35.699999999999996</v>
      </c>
    </row>
    <row r="75" spans="1:6" ht="15" x14ac:dyDescent="0.25">
      <c r="A75" s="8">
        <v>898</v>
      </c>
      <c r="B75" s="3" t="s">
        <v>45</v>
      </c>
      <c r="C75" s="21">
        <v>21</v>
      </c>
      <c r="D75" s="20">
        <v>1.7</v>
      </c>
    </row>
    <row r="76" spans="1:6" ht="15.6" thickBot="1" x14ac:dyDescent="0.3">
      <c r="A76" s="9">
        <v>898</v>
      </c>
      <c r="B76" s="10" t="s">
        <v>7</v>
      </c>
      <c r="C76" s="11">
        <f>SUM(C74:C75)</f>
        <v>21</v>
      </c>
      <c r="D76" s="12">
        <f>F74/C76</f>
        <v>1.6999999999999997</v>
      </c>
    </row>
    <row r="77" spans="1:6" ht="15" x14ac:dyDescent="0.25">
      <c r="A77" s="5">
        <v>899</v>
      </c>
      <c r="B77" s="6" t="s">
        <v>46</v>
      </c>
      <c r="C77" s="18">
        <v>15</v>
      </c>
      <c r="D77" s="19">
        <v>6.6</v>
      </c>
      <c r="F77" s="2">
        <f>(C77*D77)+(C78*D78)</f>
        <v>99</v>
      </c>
    </row>
    <row r="78" spans="1:6" ht="15" x14ac:dyDescent="0.25">
      <c r="A78" s="8">
        <v>899</v>
      </c>
      <c r="B78" s="3" t="s">
        <v>47</v>
      </c>
      <c r="C78" s="4">
        <v>0</v>
      </c>
      <c r="D78" s="15">
        <v>0</v>
      </c>
    </row>
    <row r="79" spans="1:6" ht="15.6" thickBot="1" x14ac:dyDescent="0.3">
      <c r="A79" s="9">
        <v>899</v>
      </c>
      <c r="B79" s="10" t="s">
        <v>7</v>
      </c>
      <c r="C79" s="11">
        <f>SUM(C77:C78)</f>
        <v>15</v>
      </c>
      <c r="D79" s="12">
        <f>F77/C79</f>
        <v>6.6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4DC28-E097-4AFB-BD69-2BF74B520099}">
  <dimension ref="A2:I79"/>
  <sheetViews>
    <sheetView topLeftCell="A24" workbookViewId="0">
      <selection activeCell="I31" sqref="I31:I52"/>
    </sheetView>
  </sheetViews>
  <sheetFormatPr defaultColWidth="9.109375" defaultRowHeight="13.2" x14ac:dyDescent="0.25"/>
  <cols>
    <col min="1" max="2" width="12.6640625" style="2" customWidth="1"/>
    <col min="3" max="3" width="8.5546875" style="2" customWidth="1"/>
    <col min="4" max="4" width="19.109375" style="16" customWidth="1"/>
    <col min="5" max="7" width="10.44140625" style="2" customWidth="1"/>
    <col min="8" max="16384" width="9.109375" style="2"/>
  </cols>
  <sheetData>
    <row r="2" spans="1:6" ht="16.2" thickBot="1" x14ac:dyDescent="0.3">
      <c r="A2" s="1" t="s">
        <v>0</v>
      </c>
      <c r="B2" s="1" t="s">
        <v>1</v>
      </c>
      <c r="C2" s="1" t="s">
        <v>2</v>
      </c>
      <c r="D2" s="13" t="s">
        <v>3</v>
      </c>
    </row>
    <row r="3" spans="1:6" ht="15" x14ac:dyDescent="0.25">
      <c r="A3" s="47">
        <v>877</v>
      </c>
      <c r="B3" s="36" t="s">
        <v>98</v>
      </c>
      <c r="C3" s="36">
        <v>19</v>
      </c>
      <c r="D3" s="40">
        <v>2.9</v>
      </c>
    </row>
    <row r="4" spans="1:6" ht="16.2" thickBot="1" x14ac:dyDescent="0.3">
      <c r="A4" s="9">
        <v>877</v>
      </c>
      <c r="B4" s="42"/>
      <c r="C4" s="10">
        <v>19</v>
      </c>
      <c r="D4" s="12">
        <v>2.9</v>
      </c>
    </row>
    <row r="5" spans="1:6" ht="15" x14ac:dyDescent="0.25">
      <c r="A5" s="39" t="s">
        <v>95</v>
      </c>
      <c r="B5" s="36" t="s">
        <v>88</v>
      </c>
      <c r="C5" s="36">
        <v>24</v>
      </c>
      <c r="D5" s="40">
        <v>0</v>
      </c>
      <c r="F5" s="16"/>
    </row>
    <row r="6" spans="1:6" ht="15" x14ac:dyDescent="0.25">
      <c r="A6" s="50" t="s">
        <v>95</v>
      </c>
      <c r="B6" s="27" t="s">
        <v>99</v>
      </c>
      <c r="C6" s="27">
        <v>1</v>
      </c>
      <c r="D6" s="49">
        <v>0</v>
      </c>
      <c r="F6" s="16"/>
    </row>
    <row r="7" spans="1:6" ht="16.2" thickBot="1" x14ac:dyDescent="0.3">
      <c r="A7" s="41"/>
      <c r="B7" s="42"/>
      <c r="C7" s="10">
        <v>25</v>
      </c>
      <c r="D7" s="12">
        <v>0</v>
      </c>
      <c r="F7" s="16"/>
    </row>
    <row r="8" spans="1:6" ht="15" x14ac:dyDescent="0.25">
      <c r="A8" s="17" t="s">
        <v>96</v>
      </c>
      <c r="B8" s="6" t="s">
        <v>4</v>
      </c>
      <c r="C8" s="18">
        <v>48</v>
      </c>
      <c r="D8" s="19">
        <v>11</v>
      </c>
      <c r="F8" s="2">
        <f>(C8*D8)+(C9*D9)+(C10*D10)</f>
        <v>597.79999999999995</v>
      </c>
    </row>
    <row r="9" spans="1:6" ht="15" x14ac:dyDescent="0.25">
      <c r="A9" s="8">
        <v>879</v>
      </c>
      <c r="B9" s="3" t="s">
        <v>5</v>
      </c>
      <c r="C9" s="21">
        <v>4</v>
      </c>
      <c r="D9" s="20">
        <v>10.7</v>
      </c>
    </row>
    <row r="10" spans="1:6" ht="15" x14ac:dyDescent="0.25">
      <c r="A10" s="8">
        <v>879</v>
      </c>
      <c r="B10" s="3" t="s">
        <v>6</v>
      </c>
      <c r="C10" s="21">
        <v>3</v>
      </c>
      <c r="D10" s="20">
        <v>9</v>
      </c>
    </row>
    <row r="11" spans="1:6" ht="15.6" thickBot="1" x14ac:dyDescent="0.3">
      <c r="A11" s="9">
        <v>879</v>
      </c>
      <c r="B11" s="10" t="s">
        <v>7</v>
      </c>
      <c r="C11" s="11">
        <f>SUM(C8:C10)</f>
        <v>55</v>
      </c>
      <c r="D11" s="12">
        <f>F8/C11</f>
        <v>10.869090909090909</v>
      </c>
    </row>
    <row r="12" spans="1:6" ht="15" x14ac:dyDescent="0.25">
      <c r="A12" s="5">
        <v>880</v>
      </c>
      <c r="B12" s="6" t="s">
        <v>8</v>
      </c>
      <c r="C12" s="18">
        <v>0</v>
      </c>
      <c r="D12" s="19">
        <v>0</v>
      </c>
      <c r="F12" s="2">
        <f>(C12*D12)+(C14*D14)+(C13*D13)</f>
        <v>323.2</v>
      </c>
    </row>
    <row r="13" spans="1:6" ht="15" x14ac:dyDescent="0.25">
      <c r="A13" s="8">
        <v>880</v>
      </c>
      <c r="B13" s="3" t="s">
        <v>92</v>
      </c>
      <c r="C13" s="34">
        <v>32</v>
      </c>
      <c r="D13" s="35">
        <v>10.1</v>
      </c>
    </row>
    <row r="14" spans="1:6" ht="15" x14ac:dyDescent="0.25">
      <c r="A14" s="8">
        <v>880</v>
      </c>
      <c r="B14" s="3" t="s">
        <v>9</v>
      </c>
      <c r="C14" s="21">
        <v>0</v>
      </c>
      <c r="D14" s="20">
        <v>0</v>
      </c>
    </row>
    <row r="15" spans="1:6" ht="15.6" thickBot="1" x14ac:dyDescent="0.3">
      <c r="A15" s="9">
        <v>880</v>
      </c>
      <c r="B15" s="10" t="s">
        <v>7</v>
      </c>
      <c r="C15" s="11">
        <f>SUM(C12:C14)</f>
        <v>32</v>
      </c>
      <c r="D15" s="12">
        <f>F12/C15</f>
        <v>10.1</v>
      </c>
    </row>
    <row r="16" spans="1:6" ht="15" x14ac:dyDescent="0.25">
      <c r="A16" s="5">
        <v>881</v>
      </c>
      <c r="B16" s="6" t="s">
        <v>10</v>
      </c>
      <c r="C16" s="18">
        <v>0</v>
      </c>
      <c r="D16" s="19">
        <v>0</v>
      </c>
      <c r="F16" s="2">
        <f>(C16*D16)+(C17*D17)+(C18*D18)</f>
        <v>116.4</v>
      </c>
    </row>
    <row r="17" spans="1:9" ht="15" x14ac:dyDescent="0.25">
      <c r="A17" s="8">
        <v>881</v>
      </c>
      <c r="B17" s="3" t="s">
        <v>12</v>
      </c>
      <c r="C17" s="21">
        <v>12</v>
      </c>
      <c r="D17" s="20">
        <v>7.7</v>
      </c>
    </row>
    <row r="18" spans="1:9" ht="15" x14ac:dyDescent="0.25">
      <c r="A18" s="8">
        <v>881</v>
      </c>
      <c r="B18" s="3" t="s">
        <v>11</v>
      </c>
      <c r="C18" s="21">
        <v>4</v>
      </c>
      <c r="D18" s="20">
        <v>6</v>
      </c>
    </row>
    <row r="19" spans="1:9" ht="15.6" thickBot="1" x14ac:dyDescent="0.3">
      <c r="A19" s="9">
        <v>881</v>
      </c>
      <c r="B19" s="10" t="s">
        <v>7</v>
      </c>
      <c r="C19" s="11">
        <f>SUM(C16:C18)</f>
        <v>16</v>
      </c>
      <c r="D19" s="12">
        <f>F16/C19</f>
        <v>7.2750000000000004</v>
      </c>
    </row>
    <row r="20" spans="1:9" ht="15" x14ac:dyDescent="0.25">
      <c r="A20" s="5">
        <v>882</v>
      </c>
      <c r="B20" s="6" t="s">
        <v>13</v>
      </c>
      <c r="C20" s="18">
        <v>79</v>
      </c>
      <c r="D20" s="19">
        <v>8.3000000000000007</v>
      </c>
      <c r="F20" s="2">
        <f>(C20*D20)+(C21*D21)</f>
        <v>677.6</v>
      </c>
    </row>
    <row r="21" spans="1:9" ht="15" x14ac:dyDescent="0.25">
      <c r="A21" s="8">
        <v>882</v>
      </c>
      <c r="B21" s="3" t="s">
        <v>14</v>
      </c>
      <c r="C21" s="21">
        <v>3</v>
      </c>
      <c r="D21" s="20">
        <v>7.3</v>
      </c>
    </row>
    <row r="22" spans="1:9" ht="15.6" thickBot="1" x14ac:dyDescent="0.3">
      <c r="A22" s="9">
        <v>882</v>
      </c>
      <c r="B22" s="10" t="s">
        <v>7</v>
      </c>
      <c r="C22" s="11">
        <f>SUM(C20:C21)</f>
        <v>82</v>
      </c>
      <c r="D22" s="12">
        <f>F20/C22</f>
        <v>8.2634146341463417</v>
      </c>
    </row>
    <row r="23" spans="1:9" ht="15" x14ac:dyDescent="0.25">
      <c r="A23" s="5">
        <v>884</v>
      </c>
      <c r="B23" s="6" t="s">
        <v>15</v>
      </c>
      <c r="C23" s="18">
        <v>3</v>
      </c>
      <c r="D23" s="19">
        <v>0</v>
      </c>
      <c r="F23" s="2">
        <f>(C23*D23)+(C24*D24)+(C25*D25)</f>
        <v>105.60000000000001</v>
      </c>
    </row>
    <row r="24" spans="1:9" ht="15" x14ac:dyDescent="0.25">
      <c r="A24" s="8">
        <v>884</v>
      </c>
      <c r="B24" s="3" t="s">
        <v>16</v>
      </c>
      <c r="C24" s="21">
        <v>7</v>
      </c>
      <c r="D24" s="20">
        <v>0</v>
      </c>
    </row>
    <row r="25" spans="1:9" ht="15" x14ac:dyDescent="0.25">
      <c r="A25" s="8">
        <v>884</v>
      </c>
      <c r="B25" s="3" t="s">
        <v>17</v>
      </c>
      <c r="C25" s="21">
        <v>48</v>
      </c>
      <c r="D25" s="20">
        <v>2.2000000000000002</v>
      </c>
    </row>
    <row r="26" spans="1:9" ht="15.6" thickBot="1" x14ac:dyDescent="0.3">
      <c r="A26" s="9">
        <v>884</v>
      </c>
      <c r="B26" s="10" t="s">
        <v>7</v>
      </c>
      <c r="C26" s="11">
        <f>SUM(C23:C25)</f>
        <v>58</v>
      </c>
      <c r="D26" s="12">
        <f>F23/C26</f>
        <v>1.8206896551724139</v>
      </c>
    </row>
    <row r="27" spans="1:9" ht="15" x14ac:dyDescent="0.25">
      <c r="A27" s="29" t="s">
        <v>97</v>
      </c>
      <c r="B27" s="27" t="s">
        <v>64</v>
      </c>
      <c r="C27" s="28">
        <v>18</v>
      </c>
      <c r="D27" s="32">
        <v>13.8</v>
      </c>
      <c r="F27" s="2">
        <f>(C27*D27)+(C28*D28)</f>
        <v>266.39999999999998</v>
      </c>
    </row>
    <row r="28" spans="1:9" ht="15" x14ac:dyDescent="0.25">
      <c r="A28" s="29" t="s">
        <v>97</v>
      </c>
      <c r="B28" s="27" t="s">
        <v>91</v>
      </c>
      <c r="C28" s="28">
        <v>1</v>
      </c>
      <c r="D28" s="32">
        <v>18</v>
      </c>
    </row>
    <row r="29" spans="1:9" ht="15.6" thickBot="1" x14ac:dyDescent="0.3">
      <c r="A29" s="30" t="s">
        <v>97</v>
      </c>
      <c r="B29" s="25"/>
      <c r="C29" s="26">
        <f>SUM(C27:C28)</f>
        <v>19</v>
      </c>
      <c r="D29" s="12">
        <f>F27/C29</f>
        <v>14.021052631578947</v>
      </c>
    </row>
    <row r="30" spans="1:9" ht="15" x14ac:dyDescent="0.25">
      <c r="A30" s="5">
        <v>886</v>
      </c>
      <c r="B30" s="6" t="s">
        <v>18</v>
      </c>
      <c r="C30" s="18">
        <v>20</v>
      </c>
      <c r="D30" s="19">
        <v>5.9</v>
      </c>
      <c r="F30" s="2">
        <f>(C30*D30)+(C32*D32)+(C31*D31)</f>
        <v>134</v>
      </c>
    </row>
    <row r="31" spans="1:9" ht="15" x14ac:dyDescent="0.25">
      <c r="A31" s="8">
        <v>886</v>
      </c>
      <c r="B31" s="3" t="s">
        <v>90</v>
      </c>
      <c r="C31" s="4">
        <v>2</v>
      </c>
      <c r="D31" s="33">
        <v>8</v>
      </c>
      <c r="I31" s="2">
        <v>2.9</v>
      </c>
    </row>
    <row r="32" spans="1:9" ht="15" x14ac:dyDescent="0.25">
      <c r="A32" s="8">
        <v>886</v>
      </c>
      <c r="B32" s="3" t="s">
        <v>19</v>
      </c>
      <c r="C32" s="4">
        <v>0</v>
      </c>
      <c r="D32" s="15">
        <v>0</v>
      </c>
      <c r="I32" s="2">
        <v>0</v>
      </c>
    </row>
    <row r="33" spans="1:9" ht="15.6" thickBot="1" x14ac:dyDescent="0.3">
      <c r="A33" s="9">
        <v>886</v>
      </c>
      <c r="B33" s="10" t="s">
        <v>7</v>
      </c>
      <c r="C33" s="11">
        <f>SUM(C30:C32)</f>
        <v>22</v>
      </c>
      <c r="D33" s="12">
        <f>F30/C33</f>
        <v>6.0909090909090908</v>
      </c>
      <c r="I33" s="2">
        <v>10.9</v>
      </c>
    </row>
    <row r="34" spans="1:9" ht="15" x14ac:dyDescent="0.25">
      <c r="A34" s="5">
        <v>887</v>
      </c>
      <c r="B34" s="6" t="s">
        <v>20</v>
      </c>
      <c r="C34" s="7">
        <v>2</v>
      </c>
      <c r="D34" s="14">
        <v>9</v>
      </c>
      <c r="F34" s="2">
        <f>(C34*D34)+(C35*D35)</f>
        <v>81</v>
      </c>
      <c r="I34" s="2">
        <v>10.1</v>
      </c>
    </row>
    <row r="35" spans="1:9" ht="15" x14ac:dyDescent="0.25">
      <c r="A35" s="8">
        <v>887</v>
      </c>
      <c r="B35" s="3" t="s">
        <v>21</v>
      </c>
      <c r="C35" s="21">
        <v>30</v>
      </c>
      <c r="D35" s="20">
        <v>2.1</v>
      </c>
      <c r="I35" s="24">
        <v>7.3</v>
      </c>
    </row>
    <row r="36" spans="1:9" ht="15.6" thickBot="1" x14ac:dyDescent="0.3">
      <c r="A36" s="9">
        <v>887</v>
      </c>
      <c r="B36" s="10" t="s">
        <v>7</v>
      </c>
      <c r="C36" s="11">
        <f>SUM(C34:C35)</f>
        <v>32</v>
      </c>
      <c r="D36" s="12">
        <f>F34/C36</f>
        <v>2.53125</v>
      </c>
      <c r="I36" s="24">
        <v>8.3000000000000007</v>
      </c>
    </row>
    <row r="37" spans="1:9" ht="15" x14ac:dyDescent="0.25">
      <c r="A37" s="5">
        <v>888</v>
      </c>
      <c r="B37" s="6" t="s">
        <v>22</v>
      </c>
      <c r="C37" s="18">
        <v>5</v>
      </c>
      <c r="D37" s="19">
        <v>28</v>
      </c>
      <c r="F37" s="2">
        <f>(C37*D37)+(C38*D38)+(C39*D39)+(C40*D40)</f>
        <v>868.80000000000007</v>
      </c>
      <c r="I37" s="24">
        <v>1.8</v>
      </c>
    </row>
    <row r="38" spans="1:9" ht="15" x14ac:dyDescent="0.25">
      <c r="A38" s="8">
        <v>888</v>
      </c>
      <c r="B38" s="3" t="s">
        <v>23</v>
      </c>
      <c r="C38" s="4">
        <v>3</v>
      </c>
      <c r="D38" s="15">
        <v>36</v>
      </c>
      <c r="I38" s="24">
        <v>14</v>
      </c>
    </row>
    <row r="39" spans="1:9" ht="15" x14ac:dyDescent="0.25">
      <c r="A39" s="8">
        <v>888</v>
      </c>
      <c r="B39" s="3" t="s">
        <v>24</v>
      </c>
      <c r="C39" s="21">
        <v>31</v>
      </c>
      <c r="D39" s="20">
        <v>18.8</v>
      </c>
      <c r="I39" s="24">
        <v>6.1</v>
      </c>
    </row>
    <row r="40" spans="1:9" ht="15" x14ac:dyDescent="0.25">
      <c r="A40" s="8">
        <v>888</v>
      </c>
      <c r="B40" s="3" t="s">
        <v>48</v>
      </c>
      <c r="C40" s="21">
        <v>4</v>
      </c>
      <c r="D40" s="20">
        <v>9.5</v>
      </c>
      <c r="I40" s="24">
        <v>2.5</v>
      </c>
    </row>
    <row r="41" spans="1:9" ht="15.6" thickBot="1" x14ac:dyDescent="0.3">
      <c r="A41" s="9">
        <v>888</v>
      </c>
      <c r="B41" s="10" t="s">
        <v>7</v>
      </c>
      <c r="C41" s="11">
        <f>SUM(C37:C40)</f>
        <v>43</v>
      </c>
      <c r="D41" s="12">
        <f>F37/C41</f>
        <v>20.2046511627907</v>
      </c>
      <c r="I41" s="24">
        <v>20.2</v>
      </c>
    </row>
    <row r="42" spans="1:9" ht="15" x14ac:dyDescent="0.25">
      <c r="A42" s="5">
        <v>889</v>
      </c>
      <c r="B42" s="6" t="s">
        <v>25</v>
      </c>
      <c r="C42" s="18">
        <v>27</v>
      </c>
      <c r="D42" s="19">
        <v>4.3</v>
      </c>
      <c r="F42" s="2">
        <f>(C42*D42)+(C43*D43)+(C44*D44)+(C45*D45)+(C46*D46)</f>
        <v>470.7</v>
      </c>
      <c r="I42" s="24">
        <v>8.4</v>
      </c>
    </row>
    <row r="43" spans="1:9" ht="15" x14ac:dyDescent="0.25">
      <c r="A43" s="8">
        <v>889</v>
      </c>
      <c r="B43" s="3" t="s">
        <v>26</v>
      </c>
      <c r="C43" s="21">
        <v>16</v>
      </c>
      <c r="D43" s="20">
        <v>1.3</v>
      </c>
      <c r="I43" s="24">
        <v>6.5</v>
      </c>
    </row>
    <row r="44" spans="1:9" ht="15" x14ac:dyDescent="0.25">
      <c r="A44" s="8">
        <v>889</v>
      </c>
      <c r="B44" s="3" t="s">
        <v>27</v>
      </c>
      <c r="C44" s="21">
        <v>0</v>
      </c>
      <c r="D44" s="20">
        <v>0</v>
      </c>
      <c r="I44" s="24">
        <v>11.8</v>
      </c>
    </row>
    <row r="45" spans="1:9" ht="15" x14ac:dyDescent="0.25">
      <c r="A45" s="8">
        <v>889</v>
      </c>
      <c r="B45" s="3" t="s">
        <v>28</v>
      </c>
      <c r="C45" s="21">
        <v>10</v>
      </c>
      <c r="D45" s="20">
        <v>31.4</v>
      </c>
      <c r="I45" s="24">
        <v>4.8</v>
      </c>
    </row>
    <row r="46" spans="1:9" ht="15" x14ac:dyDescent="0.25">
      <c r="A46" s="8">
        <v>889</v>
      </c>
      <c r="B46" s="3" t="s">
        <v>87</v>
      </c>
      <c r="C46" s="4">
        <v>3</v>
      </c>
      <c r="D46" s="33">
        <v>6.6</v>
      </c>
      <c r="I46" s="24">
        <v>7.6</v>
      </c>
    </row>
    <row r="47" spans="1:9" ht="15.6" thickBot="1" x14ac:dyDescent="0.3">
      <c r="A47" s="9">
        <v>889</v>
      </c>
      <c r="B47" s="10" t="s">
        <v>7</v>
      </c>
      <c r="C47" s="11">
        <f>SUM(C42:C46)</f>
        <v>56</v>
      </c>
      <c r="D47" s="12">
        <f>F42/C47</f>
        <v>8.4053571428571434</v>
      </c>
      <c r="I47" s="24">
        <v>2.6</v>
      </c>
    </row>
    <row r="48" spans="1:9" ht="15" x14ac:dyDescent="0.25">
      <c r="A48" s="5">
        <v>890</v>
      </c>
      <c r="B48" s="6" t="s">
        <v>29</v>
      </c>
      <c r="C48" s="18">
        <v>25</v>
      </c>
      <c r="D48" s="19">
        <v>6.3</v>
      </c>
      <c r="F48" s="2">
        <f>(C48*D48)+(C49*D49)</f>
        <v>169.5</v>
      </c>
      <c r="I48" s="24">
        <v>29.3</v>
      </c>
    </row>
    <row r="49" spans="1:9" ht="15" x14ac:dyDescent="0.25">
      <c r="A49" s="8">
        <v>890</v>
      </c>
      <c r="B49" s="3" t="s">
        <v>30</v>
      </c>
      <c r="C49" s="21">
        <v>1</v>
      </c>
      <c r="D49" s="20">
        <v>12</v>
      </c>
      <c r="I49" s="24">
        <v>3.7</v>
      </c>
    </row>
    <row r="50" spans="1:9" ht="15.6" thickBot="1" x14ac:dyDescent="0.3">
      <c r="A50" s="9">
        <v>890</v>
      </c>
      <c r="B50" s="10" t="s">
        <v>7</v>
      </c>
      <c r="C50" s="11">
        <f>SUM(C48:C49)</f>
        <v>26</v>
      </c>
      <c r="D50" s="12">
        <f>F48/C50</f>
        <v>6.5192307692307692</v>
      </c>
      <c r="I50" s="24">
        <v>0.6</v>
      </c>
    </row>
    <row r="51" spans="1:9" ht="15" x14ac:dyDescent="0.25">
      <c r="A51" s="5">
        <v>891</v>
      </c>
      <c r="B51" s="6" t="s">
        <v>31</v>
      </c>
      <c r="C51" s="7">
        <v>4</v>
      </c>
      <c r="D51" s="14">
        <v>3.2</v>
      </c>
      <c r="F51" s="2">
        <f>(C51*D51)+(C52*D52)+(C53*D53)</f>
        <v>520</v>
      </c>
      <c r="I51" s="44">
        <v>4.5</v>
      </c>
    </row>
    <row r="52" spans="1:9" ht="15" x14ac:dyDescent="0.25">
      <c r="A52" s="8">
        <v>891</v>
      </c>
      <c r="B52" s="3" t="s">
        <v>32</v>
      </c>
      <c r="C52" s="21">
        <v>21</v>
      </c>
      <c r="D52" s="20">
        <v>16.100000000000001</v>
      </c>
      <c r="I52" s="16">
        <v>7.3</v>
      </c>
    </row>
    <row r="53" spans="1:9" ht="15" x14ac:dyDescent="0.25">
      <c r="A53" s="8">
        <v>891</v>
      </c>
      <c r="B53" s="3" t="s">
        <v>33</v>
      </c>
      <c r="C53" s="21">
        <v>19</v>
      </c>
      <c r="D53" s="20">
        <v>8.9</v>
      </c>
      <c r="I53" s="51">
        <f>SUM(I31:I52)/22</f>
        <v>7.7818181818181813</v>
      </c>
    </row>
    <row r="54" spans="1:9" ht="15.6" thickBot="1" x14ac:dyDescent="0.3">
      <c r="A54" s="9">
        <v>891</v>
      </c>
      <c r="B54" s="10" t="s">
        <v>7</v>
      </c>
      <c r="C54" s="11">
        <f>SUM(C51:C53)</f>
        <v>44</v>
      </c>
      <c r="D54" s="12">
        <f>F51/C54</f>
        <v>11.818181818181818</v>
      </c>
      <c r="I54" s="24"/>
    </row>
    <row r="55" spans="1:9" ht="15" x14ac:dyDescent="0.25">
      <c r="A55" s="5">
        <v>892</v>
      </c>
      <c r="B55" s="6" t="s">
        <v>34</v>
      </c>
      <c r="C55" s="18">
        <v>33</v>
      </c>
      <c r="D55" s="19">
        <v>4.4000000000000004</v>
      </c>
      <c r="F55" s="2">
        <f>(C55*D55)+(C56*D56)</f>
        <v>195.60000000000002</v>
      </c>
      <c r="I55" s="24"/>
    </row>
    <row r="56" spans="1:9" ht="15" x14ac:dyDescent="0.25">
      <c r="A56" s="8">
        <v>892</v>
      </c>
      <c r="B56" s="3" t="s">
        <v>49</v>
      </c>
      <c r="C56" s="21">
        <v>8</v>
      </c>
      <c r="D56" s="20">
        <v>6.3</v>
      </c>
      <c r="I56" s="24"/>
    </row>
    <row r="57" spans="1:9" ht="15.6" thickBot="1" x14ac:dyDescent="0.3">
      <c r="A57" s="9">
        <v>892</v>
      </c>
      <c r="B57" s="10" t="s">
        <v>7</v>
      </c>
      <c r="C57" s="11">
        <f>SUM(C55:C56)</f>
        <v>41</v>
      </c>
      <c r="D57" s="12">
        <f>F55/C57</f>
        <v>4.7707317073170739</v>
      </c>
      <c r="I57" s="24"/>
    </row>
    <row r="58" spans="1:9" ht="15" x14ac:dyDescent="0.25">
      <c r="A58" s="5">
        <v>893</v>
      </c>
      <c r="B58" s="6" t="s">
        <v>35</v>
      </c>
      <c r="C58" s="18">
        <v>28</v>
      </c>
      <c r="D58" s="19">
        <v>2.2999999999999998</v>
      </c>
      <c r="F58" s="2">
        <f>(C58*D58)+(C60*D60)+(D59*D59)</f>
        <v>495.09</v>
      </c>
      <c r="I58" s="24"/>
    </row>
    <row r="59" spans="1:9" ht="15" x14ac:dyDescent="0.25">
      <c r="A59" s="8">
        <v>893</v>
      </c>
      <c r="B59" s="3" t="s">
        <v>50</v>
      </c>
      <c r="C59" s="21">
        <v>3</v>
      </c>
      <c r="D59" s="20">
        <v>6.3</v>
      </c>
      <c r="I59" s="24"/>
    </row>
    <row r="60" spans="1:9" ht="15" x14ac:dyDescent="0.25">
      <c r="A60" s="8">
        <v>893</v>
      </c>
      <c r="B60" s="3" t="s">
        <v>36</v>
      </c>
      <c r="C60" s="21">
        <v>34</v>
      </c>
      <c r="D60" s="20">
        <v>11.5</v>
      </c>
      <c r="I60" s="24"/>
    </row>
    <row r="61" spans="1:9" ht="15.6" thickBot="1" x14ac:dyDescent="0.3">
      <c r="A61" s="9">
        <v>893</v>
      </c>
      <c r="B61" s="10" t="s">
        <v>7</v>
      </c>
      <c r="C61" s="11">
        <f>SUM(C58:C60)</f>
        <v>65</v>
      </c>
      <c r="D61" s="12">
        <f>F58/C61</f>
        <v>7.6167692307692301</v>
      </c>
      <c r="I61" s="24"/>
    </row>
    <row r="62" spans="1:9" ht="15" x14ac:dyDescent="0.25">
      <c r="A62" s="5">
        <v>894</v>
      </c>
      <c r="B62" s="6" t="s">
        <v>37</v>
      </c>
      <c r="C62" s="18">
        <v>29</v>
      </c>
      <c r="D62" s="19">
        <v>0.8</v>
      </c>
      <c r="F62" s="2">
        <f>(C62*D62)+(C64*D64)+(C63*D63)</f>
        <v>122</v>
      </c>
      <c r="I62" s="24"/>
    </row>
    <row r="63" spans="1:9" ht="15" x14ac:dyDescent="0.25">
      <c r="A63" s="8">
        <v>894</v>
      </c>
      <c r="B63" s="3" t="s">
        <v>101</v>
      </c>
      <c r="C63" s="4">
        <v>11</v>
      </c>
      <c r="D63" s="33">
        <v>0.9</v>
      </c>
      <c r="I63" s="24"/>
    </row>
    <row r="64" spans="1:9" ht="15" x14ac:dyDescent="0.25">
      <c r="A64" s="8">
        <v>894</v>
      </c>
      <c r="B64" s="3" t="s">
        <v>38</v>
      </c>
      <c r="C64" s="4">
        <v>7</v>
      </c>
      <c r="D64" s="15">
        <v>12.7</v>
      </c>
      <c r="I64" s="24"/>
    </row>
    <row r="65" spans="1:9" ht="15.6" thickBot="1" x14ac:dyDescent="0.3">
      <c r="A65" s="9">
        <v>894</v>
      </c>
      <c r="B65" s="10" t="s">
        <v>7</v>
      </c>
      <c r="C65" s="11">
        <f>SUM(C62:C64)</f>
        <v>47</v>
      </c>
      <c r="D65" s="12">
        <f>F62/C65</f>
        <v>2.5957446808510638</v>
      </c>
      <c r="I65" s="24"/>
    </row>
    <row r="66" spans="1:9" ht="15" x14ac:dyDescent="0.25">
      <c r="A66" s="5">
        <v>895</v>
      </c>
      <c r="B66" s="6" t="s">
        <v>39</v>
      </c>
      <c r="C66" s="7">
        <v>4</v>
      </c>
      <c r="D66" s="14">
        <v>10</v>
      </c>
      <c r="F66" s="2">
        <f>(C66*D66)+(C67*D67)</f>
        <v>2607</v>
      </c>
      <c r="I66" s="44"/>
    </row>
    <row r="67" spans="1:9" ht="15" x14ac:dyDescent="0.25">
      <c r="A67" s="8">
        <v>895</v>
      </c>
      <c r="B67" s="3" t="s">
        <v>40</v>
      </c>
      <c r="C67" s="21">
        <v>85</v>
      </c>
      <c r="D67" s="20">
        <v>30.2</v>
      </c>
      <c r="I67" s="43"/>
    </row>
    <row r="68" spans="1:9" ht="15.6" thickBot="1" x14ac:dyDescent="0.3">
      <c r="A68" s="9">
        <v>895</v>
      </c>
      <c r="B68" s="10" t="s">
        <v>7</v>
      </c>
      <c r="C68" s="11">
        <f>SUM(C66:C67)</f>
        <v>89</v>
      </c>
      <c r="D68" s="12">
        <f>F66/C68</f>
        <v>29.292134831460675</v>
      </c>
    </row>
    <row r="69" spans="1:9" ht="15" x14ac:dyDescent="0.25">
      <c r="A69" s="5">
        <v>896</v>
      </c>
      <c r="B69" s="6" t="s">
        <v>41</v>
      </c>
      <c r="C69" s="18">
        <v>27</v>
      </c>
      <c r="D69" s="19">
        <v>3.7</v>
      </c>
    </row>
    <row r="70" spans="1:9" ht="15.6" thickBot="1" x14ac:dyDescent="0.3">
      <c r="A70" s="9">
        <v>896</v>
      </c>
      <c r="B70" s="10" t="s">
        <v>7</v>
      </c>
      <c r="C70" s="10">
        <v>27</v>
      </c>
      <c r="D70" s="12">
        <v>3.7</v>
      </c>
    </row>
    <row r="71" spans="1:9" ht="15" x14ac:dyDescent="0.25">
      <c r="A71" s="5">
        <v>897</v>
      </c>
      <c r="B71" s="6" t="s">
        <v>42</v>
      </c>
      <c r="C71" s="7">
        <v>1</v>
      </c>
      <c r="D71" s="14">
        <v>0</v>
      </c>
      <c r="F71" s="2">
        <f>(C71*D71)+(C72*D72)</f>
        <v>21.599999999999998</v>
      </c>
    </row>
    <row r="72" spans="1:9" ht="15" x14ac:dyDescent="0.25">
      <c r="A72" s="8">
        <v>897</v>
      </c>
      <c r="B72" s="3" t="s">
        <v>43</v>
      </c>
      <c r="C72" s="21">
        <v>36</v>
      </c>
      <c r="D72" s="20">
        <v>0.6</v>
      </c>
    </row>
    <row r="73" spans="1:9" ht="15.6" thickBot="1" x14ac:dyDescent="0.3">
      <c r="A73" s="9">
        <v>897</v>
      </c>
      <c r="B73" s="10" t="s">
        <v>7</v>
      </c>
      <c r="C73" s="11">
        <f>SUM(C71:C72)</f>
        <v>37</v>
      </c>
      <c r="D73" s="12">
        <f>F71/C73</f>
        <v>0.58378378378378371</v>
      </c>
    </row>
    <row r="74" spans="1:9" ht="15" x14ac:dyDescent="0.25">
      <c r="A74" s="5">
        <v>898</v>
      </c>
      <c r="B74" s="6" t="s">
        <v>44</v>
      </c>
      <c r="C74" s="18">
        <v>1</v>
      </c>
      <c r="D74" s="19">
        <v>0</v>
      </c>
      <c r="F74" s="2">
        <f>(C74*D74)+(C75*D75)</f>
        <v>117.5</v>
      </c>
    </row>
    <row r="75" spans="1:9" ht="15" x14ac:dyDescent="0.25">
      <c r="A75" s="8">
        <v>898</v>
      </c>
      <c r="B75" s="3" t="s">
        <v>45</v>
      </c>
      <c r="C75" s="21">
        <v>25</v>
      </c>
      <c r="D75" s="20">
        <v>4.7</v>
      </c>
    </row>
    <row r="76" spans="1:9" ht="15.6" thickBot="1" x14ac:dyDescent="0.3">
      <c r="A76" s="9">
        <v>898</v>
      </c>
      <c r="B76" s="10" t="s">
        <v>7</v>
      </c>
      <c r="C76" s="11">
        <f>SUM(C74:C75)</f>
        <v>26</v>
      </c>
      <c r="D76" s="12">
        <f>F74/C76</f>
        <v>4.5192307692307692</v>
      </c>
    </row>
    <row r="77" spans="1:9" ht="15" x14ac:dyDescent="0.25">
      <c r="A77" s="5">
        <v>899</v>
      </c>
      <c r="B77" s="6" t="s">
        <v>46</v>
      </c>
      <c r="C77" s="18">
        <v>19</v>
      </c>
      <c r="D77" s="19">
        <v>7.3</v>
      </c>
      <c r="F77" s="2">
        <f>(C77*D77)+(C78*D78)</f>
        <v>138.69999999999999</v>
      </c>
    </row>
    <row r="78" spans="1:9" ht="15" x14ac:dyDescent="0.25">
      <c r="A78" s="8">
        <v>899</v>
      </c>
      <c r="B78" s="3" t="s">
        <v>47</v>
      </c>
      <c r="C78" s="4">
        <v>0</v>
      </c>
      <c r="D78" s="15">
        <v>0</v>
      </c>
    </row>
    <row r="79" spans="1:9" ht="15.6" thickBot="1" x14ac:dyDescent="0.3">
      <c r="A79" s="9">
        <v>899</v>
      </c>
      <c r="B79" s="10" t="s">
        <v>7</v>
      </c>
      <c r="C79" s="11">
        <f>SUM(C77:C78)</f>
        <v>19</v>
      </c>
      <c r="D79" s="12">
        <f>F77/C79</f>
        <v>7.3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Brian Zitek</dc:creator>
  <cp:keywords/>
  <dc:description/>
  <cp:lastModifiedBy>Brian Zitek</cp:lastModifiedBy>
  <dcterms:created xsi:type="dcterms:W3CDTF">2021-01-08T18:16:20Z</dcterms:created>
  <dcterms:modified xsi:type="dcterms:W3CDTF">2026-01-05T18:38:50Z</dcterms:modified>
  <cp:category/>
  <cp:contentStatus/>
</cp:coreProperties>
</file>