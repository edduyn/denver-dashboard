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Group\Satellite\Perspective\December 2025\WIP\Tools\"/>
    </mc:Choice>
  </mc:AlternateContent>
  <xr:revisionPtr revIDLastSave="0" documentId="13_ncr:1_{82A29C65-DE47-41A5-ADA1-054989EE8B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ob Tracker WIP Analy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2" l="1"/>
  <c r="Q20" i="2"/>
  <c r="I13" i="2" l="1"/>
  <c r="J13" i="2" s="1"/>
  <c r="Q13" i="2" s="1"/>
  <c r="M13" i="2"/>
  <c r="R13" i="2" l="1"/>
  <c r="S13" i="2" s="1"/>
  <c r="N13" i="2"/>
  <c r="M41" i="2"/>
  <c r="M34" i="2"/>
  <c r="M27" i="2"/>
  <c r="M20" i="2"/>
  <c r="R27" i="2" l="1"/>
  <c r="N27" i="2"/>
  <c r="R34" i="2"/>
  <c r="R41" i="2"/>
  <c r="N41" i="2"/>
  <c r="R20" i="2"/>
  <c r="N20" i="2"/>
  <c r="M6" i="2"/>
  <c r="R6" i="2" l="1"/>
  <c r="N6" i="2"/>
  <c r="I41" i="2"/>
  <c r="J41" i="2" s="1"/>
  <c r="Q41" i="2" s="1"/>
  <c r="S41" i="2" s="1"/>
  <c r="I34" i="2"/>
  <c r="J34" i="2" s="1"/>
  <c r="Q34" i="2" s="1"/>
  <c r="S34" i="2" s="1"/>
  <c r="J27" i="2"/>
  <c r="Q27" i="2" s="1"/>
  <c r="S20" i="2"/>
  <c r="I6" i="2"/>
  <c r="J6" i="2" s="1"/>
  <c r="Q6" i="2" s="1"/>
  <c r="S27" i="2" l="1"/>
  <c r="S6" i="2"/>
</calcChain>
</file>

<file path=xl/sharedStrings.xml><?xml version="1.0" encoding="utf-8"?>
<sst xmlns="http://schemas.openxmlformats.org/spreadsheetml/2006/main" count="132" uniqueCount="32">
  <si>
    <t>Work Order:</t>
  </si>
  <si>
    <t>Parts Margin</t>
  </si>
  <si>
    <t>Work description</t>
  </si>
  <si>
    <t>Labor Revenue</t>
  </si>
  <si>
    <t>Parts Revenue</t>
  </si>
  <si>
    <t>Current Hours</t>
  </si>
  <si>
    <t>Total Expected Hours</t>
  </si>
  <si>
    <t>Estimated Ending ELR</t>
  </si>
  <si>
    <t>WIP Rates</t>
  </si>
  <si>
    <t>ELR</t>
  </si>
  <si>
    <t>Current Parts Cost</t>
  </si>
  <si>
    <t>Potential Labor (Loss) Gain</t>
  </si>
  <si>
    <t>Potential Parts (Loss) Gain</t>
  </si>
  <si>
    <t>Potential Combined (Loss) Gain</t>
  </si>
  <si>
    <t>Customer</t>
  </si>
  <si>
    <t>Additional Hours Expected</t>
  </si>
  <si>
    <t>Sold Parts Margin</t>
  </si>
  <si>
    <t>Estimated Additional Parts Costs</t>
  </si>
  <si>
    <t>Estimated Total Parts Costs</t>
  </si>
  <si>
    <t>Estimated Ending PM</t>
  </si>
  <si>
    <t>9HNNA</t>
  </si>
  <si>
    <t>9QUYA</t>
  </si>
  <si>
    <t>Install Dual GTN--750</t>
  </si>
  <si>
    <t>Install G-500H txi</t>
  </si>
  <si>
    <t>KFSHA</t>
  </si>
  <si>
    <t>Airshow 500</t>
  </si>
  <si>
    <t>Southern Company Services</t>
  </si>
  <si>
    <t>C6G3A</t>
  </si>
  <si>
    <t>LX5 Install</t>
  </si>
  <si>
    <t>Tashi Inc.</t>
  </si>
  <si>
    <t>CP5EA</t>
  </si>
  <si>
    <t>Starlink, etc…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</si>
</sst>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1" xfId="0" applyNumberFormat="1" applyFont="1" applyFill="1" applyBorder="1" applyAlignment="1" applyProtection="1">
      <alignment horizontal="left"/>
    </xf>
    <xf numFmtId="0" fontId="0" fillId="4" borderId="2" xfId="0" applyFill="1" applyBorder="1" applyAlignment="1" applyProtection="1">
      <alignment horizontal="center"/>
    </xf>
    <xf numFmtId="0" fontId="0" fillId="4" borderId="6" xfId="0" applyFill="1" applyBorder="1" applyAlignment="1" applyProtection="1">
      <alignment horizontal="center"/>
    </xf>
    <xf numFmtId="0" fontId="1" fillId="4" borderId="1" xfId="0" applyFont="1" applyFill="1" applyBorder="1" applyAlignment="1" applyProtection="1">
      <alignment horizontal="right"/>
    </xf>
    <xf numFmtId="0" fontId="2" fillId="4" borderId="9" xfId="0" applyFont="1" applyFill="1" applyBorder="1" applyAlignment="1" applyProtection="1">
      <alignment horizontal="left"/>
    </xf>
    <xf numFmtId="0" fontId="0" fillId="4" borderId="12" xfId="0" applyFill="1" applyBorder="1"/>
    <xf numFmtId="9" fontId="2" fillId="4" borderId="6" xfId="0" applyNumberFormat="1" applyFont="1" applyFill="1" applyBorder="1" applyAlignment="1" applyProtection="1">
      <alignment horizontal="center" vertical="center"/>
    </xf>
    <xf numFmtId="0" fontId="1" fillId="5" borderId="2" xfId="0" applyFont="1" applyFill="1" applyBorder="1" applyAlignment="1" applyProtection="1">
      <protection locked="0"/>
    </xf>
    <xf numFmtId="0" fontId="0" fillId="0" borderId="5" xfId="0" applyBorder="1"/>
    <xf numFmtId="0" fontId="0" fillId="0" borderId="0" xfId="0" applyBorder="1"/>
    <xf numFmtId="0" fontId="0" fillId="0" borderId="13" xfId="0" applyBorder="1"/>
    <xf numFmtId="43" fontId="0" fillId="0" borderId="0" xfId="0" applyNumberFormat="1"/>
    <xf numFmtId="43" fontId="0" fillId="0" borderId="0" xfId="1" applyFont="1"/>
    <xf numFmtId="0" fontId="0" fillId="4" borderId="2" xfId="0" applyFill="1" applyBorder="1" applyAlignment="1" applyProtection="1">
      <alignment horizontal="center"/>
    </xf>
    <xf numFmtId="0" fontId="0" fillId="4" borderId="6" xfId="0" applyFill="1" applyBorder="1" applyAlignment="1" applyProtection="1">
      <alignment horizontal="center"/>
    </xf>
    <xf numFmtId="0" fontId="3" fillId="6" borderId="10" xfId="0" applyFont="1" applyFill="1" applyBorder="1" applyAlignment="1" applyProtection="1">
      <alignment horizontal="center" wrapText="1"/>
    </xf>
    <xf numFmtId="0" fontId="2" fillId="6" borderId="11" xfId="0" applyFont="1" applyFill="1" applyBorder="1" applyAlignment="1" applyProtection="1">
      <alignment horizontal="center" wrapText="1"/>
    </xf>
    <xf numFmtId="43" fontId="0" fillId="6" borderId="10" xfId="1" applyNumberFormat="1" applyFont="1" applyFill="1" applyBorder="1" applyAlignment="1" applyProtection="1">
      <alignment horizontal="center" vertical="center"/>
    </xf>
    <xf numFmtId="43" fontId="0" fillId="6" borderId="11" xfId="1" applyNumberFormat="1" applyFont="1" applyFill="1" applyBorder="1" applyAlignment="1" applyProtection="1">
      <alignment horizontal="center" vertical="center"/>
    </xf>
    <xf numFmtId="43" fontId="4" fillId="0" borderId="10" xfId="1" applyFont="1" applyFill="1" applyBorder="1" applyAlignment="1" applyProtection="1">
      <alignment horizontal="center" vertical="center"/>
      <protection locked="0"/>
    </xf>
    <xf numFmtId="43" fontId="4" fillId="0" borderId="11" xfId="1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wrapText="1"/>
    </xf>
    <xf numFmtId="0" fontId="3" fillId="4" borderId="11" xfId="0" applyFont="1" applyFill="1" applyBorder="1" applyAlignment="1" applyProtection="1">
      <alignment horizontal="center" wrapText="1"/>
    </xf>
    <xf numFmtId="0" fontId="2" fillId="3" borderId="2" xfId="0" applyNumberFormat="1" applyFont="1" applyFill="1" applyBorder="1" applyAlignment="1" applyProtection="1">
      <alignment horizontal="center"/>
    </xf>
    <xf numFmtId="0" fontId="2" fillId="3" borderId="4" xfId="0" applyNumberFormat="1" applyFont="1" applyFill="1" applyBorder="1" applyAlignment="1" applyProtection="1">
      <alignment horizontal="center"/>
    </xf>
    <xf numFmtId="0" fontId="2" fillId="4" borderId="11" xfId="0" applyFont="1" applyFill="1" applyBorder="1" applyAlignment="1" applyProtection="1">
      <alignment horizontal="center" wrapText="1"/>
    </xf>
    <xf numFmtId="164" fontId="4" fillId="5" borderId="1" xfId="1" applyNumberFormat="1" applyFont="1" applyFill="1" applyBorder="1" applyAlignment="1" applyProtection="1">
      <alignment horizontal="center" vertical="center"/>
      <protection locked="0"/>
    </xf>
    <xf numFmtId="164" fontId="4" fillId="5" borderId="12" xfId="1" applyNumberFormat="1" applyFont="1" applyFill="1" applyBorder="1" applyAlignment="1" applyProtection="1">
      <alignment horizontal="center" vertical="center"/>
      <protection locked="0"/>
    </xf>
    <xf numFmtId="9" fontId="0" fillId="2" borderId="10" xfId="0" applyNumberFormat="1" applyFill="1" applyBorder="1" applyAlignment="1" applyProtection="1">
      <alignment horizontal="center" vertical="center"/>
    </xf>
    <xf numFmtId="9" fontId="0" fillId="2" borderId="11" xfId="0" applyNumberFormat="1" applyFill="1" applyBorder="1" applyAlignment="1" applyProtection="1">
      <alignment horizontal="center" vertical="center"/>
    </xf>
    <xf numFmtId="164" fontId="0" fillId="0" borderId="10" xfId="1" applyNumberFormat="1" applyFont="1" applyFill="1" applyBorder="1" applyAlignment="1" applyProtection="1">
      <alignment horizontal="center" vertical="center"/>
    </xf>
    <xf numFmtId="164" fontId="0" fillId="0" borderId="11" xfId="1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left" vertical="center"/>
    </xf>
    <xf numFmtId="0" fontId="1" fillId="4" borderId="12" xfId="0" applyFont="1" applyFill="1" applyBorder="1" applyAlignment="1" applyProtection="1">
      <alignment horizontal="left" vertical="center"/>
    </xf>
    <xf numFmtId="0" fontId="0" fillId="4" borderId="2" xfId="0" applyFill="1" applyBorder="1" applyAlignment="1" applyProtection="1">
      <alignment horizontal="center"/>
    </xf>
    <xf numFmtId="0" fontId="0" fillId="4" borderId="6" xfId="0" applyFill="1" applyBorder="1" applyAlignment="1" applyProtection="1">
      <alignment horizontal="center"/>
    </xf>
    <xf numFmtId="9" fontId="2" fillId="4" borderId="10" xfId="0" applyNumberFormat="1" applyFont="1" applyFill="1" applyBorder="1" applyAlignment="1" applyProtection="1">
      <alignment horizontal="center" wrapText="1"/>
    </xf>
    <xf numFmtId="9" fontId="2" fillId="4" borderId="11" xfId="0" applyNumberFormat="1" applyFont="1" applyFill="1" applyBorder="1" applyAlignment="1" applyProtection="1">
      <alignment horizontal="center" wrapText="1"/>
    </xf>
    <xf numFmtId="17" fontId="2" fillId="4" borderId="1" xfId="0" applyNumberFormat="1" applyFont="1" applyFill="1" applyBorder="1" applyAlignment="1" applyProtection="1">
      <alignment horizontal="center" wrapText="1"/>
    </xf>
    <xf numFmtId="17" fontId="2" fillId="4" borderId="12" xfId="0" applyNumberFormat="1" applyFont="1" applyFill="1" applyBorder="1" applyAlignment="1" applyProtection="1">
      <alignment horizontal="center" wrapText="1"/>
    </xf>
    <xf numFmtId="10" fontId="4" fillId="5" borderId="10" xfId="0" applyNumberFormat="1" applyFont="1" applyFill="1" applyBorder="1" applyAlignment="1" applyProtection="1">
      <alignment horizontal="center" vertical="center"/>
      <protection locked="0"/>
    </xf>
    <xf numFmtId="0" fontId="4" fillId="5" borderId="11" xfId="0" applyNumberFormat="1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left" vertical="center"/>
      <protection locked="0"/>
    </xf>
    <xf numFmtId="0" fontId="1" fillId="5" borderId="6" xfId="0" applyFont="1" applyFill="1" applyBorder="1" applyAlignment="1" applyProtection="1">
      <alignment horizontal="left" vertical="center"/>
      <protection locked="0"/>
    </xf>
    <xf numFmtId="0" fontId="4" fillId="5" borderId="1" xfId="0" applyNumberFormat="1" applyFont="1" applyFill="1" applyBorder="1" applyAlignment="1" applyProtection="1">
      <alignment horizontal="left" vertical="center"/>
      <protection locked="0"/>
    </xf>
    <xf numFmtId="0" fontId="4" fillId="5" borderId="4" xfId="0" applyNumberFormat="1" applyFont="1" applyFill="1" applyBorder="1" applyAlignment="1" applyProtection="1">
      <alignment horizontal="left" vertical="center"/>
      <protection locked="0"/>
    </xf>
    <xf numFmtId="0" fontId="4" fillId="5" borderId="12" xfId="0" applyNumberFormat="1" applyFont="1" applyFill="1" applyBorder="1" applyAlignment="1" applyProtection="1">
      <alignment horizontal="left" vertical="center"/>
      <protection locked="0"/>
    </xf>
    <xf numFmtId="0" fontId="4" fillId="5" borderId="9" xfId="0" applyNumberFormat="1" applyFont="1" applyFill="1" applyBorder="1" applyAlignment="1" applyProtection="1">
      <alignment horizontal="left" vertical="center"/>
      <protection locked="0"/>
    </xf>
    <xf numFmtId="0" fontId="4" fillId="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2" xfId="0" applyNumberFormat="1" applyFill="1" applyBorder="1" applyAlignment="1" applyProtection="1">
      <alignment horizontal="center" vertical="center"/>
      <protection locked="0"/>
    </xf>
    <xf numFmtId="9" fontId="0" fillId="4" borderId="3" xfId="0" applyNumberFormat="1" applyFill="1" applyBorder="1" applyAlignment="1" applyProtection="1">
      <alignment horizontal="center"/>
    </xf>
    <xf numFmtId="0" fontId="0" fillId="4" borderId="4" xfId="0" applyFill="1" applyBorder="1" applyAlignment="1" applyProtection="1">
      <alignment horizontal="center"/>
    </xf>
    <xf numFmtId="0" fontId="0" fillId="4" borderId="9" xfId="0" applyFill="1" applyBorder="1" applyAlignment="1" applyProtection="1">
      <alignment horizontal="center"/>
    </xf>
    <xf numFmtId="9" fontId="2" fillId="2" borderId="7" xfId="0" applyNumberFormat="1" applyFont="1" applyFill="1" applyBorder="1" applyAlignment="1" applyProtection="1">
      <alignment horizontal="center" vertical="center"/>
    </xf>
    <xf numFmtId="9" fontId="2" fillId="2" borderId="8" xfId="0" applyNumberFormat="1" applyFont="1" applyFill="1" applyBorder="1" applyAlignment="1" applyProtection="1">
      <alignment horizontal="center" vertical="center"/>
    </xf>
    <xf numFmtId="9" fontId="0" fillId="4" borderId="2" xfId="0" applyNumberFormat="1" applyFill="1" applyBorder="1" applyAlignment="1" applyProtection="1">
      <alignment horizontal="center"/>
    </xf>
    <xf numFmtId="9" fontId="2" fillId="4" borderId="2" xfId="0" applyNumberFormat="1" applyFont="1" applyFill="1" applyBorder="1" applyAlignment="1" applyProtection="1">
      <alignment horizontal="center" vertical="center" wrapText="1"/>
    </xf>
    <xf numFmtId="9" fontId="2" fillId="4" borderId="6" xfId="0" applyNumberFormat="1" applyFont="1" applyFill="1" applyBorder="1" applyAlignment="1" applyProtection="1">
      <alignment horizontal="center" vertical="center" wrapText="1"/>
    </xf>
    <xf numFmtId="43" fontId="0" fillId="2" borderId="10" xfId="1" applyFont="1" applyFill="1" applyBorder="1" applyAlignment="1" applyProtection="1">
      <alignment horizontal="center" vertical="center"/>
    </xf>
    <xf numFmtId="43" fontId="0" fillId="2" borderId="11" xfId="1" applyFont="1" applyFill="1" applyBorder="1" applyAlignment="1" applyProtection="1">
      <alignment horizontal="center" vertical="center"/>
    </xf>
    <xf numFmtId="164" fontId="0" fillId="0" borderId="10" xfId="0" applyNumberFormat="1" applyFill="1" applyBorder="1" applyAlignment="1" applyProtection="1">
      <alignment horizontal="center" vertical="center"/>
    </xf>
    <xf numFmtId="0" fontId="0" fillId="0" borderId="11" xfId="0" applyFill="1" applyBorder="1" applyAlignment="1" applyProtection="1">
      <alignment horizontal="center" vertical="center"/>
    </xf>
    <xf numFmtId="0" fontId="2" fillId="4" borderId="12" xfId="0" applyFont="1" applyFill="1" applyBorder="1" applyAlignment="1" applyProtection="1">
      <alignment horizontal="left"/>
    </xf>
    <xf numFmtId="0" fontId="2" fillId="4" borderId="9" xfId="0" applyFont="1" applyFill="1" applyBorder="1" applyAlignment="1" applyProtection="1">
      <alignment horizontal="left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0" fillId="5" borderId="12" xfId="0" applyFill="1" applyBorder="1" applyAlignment="1" applyProtection="1">
      <alignment horizontal="center" vertical="center"/>
      <protection locked="0"/>
    </xf>
    <xf numFmtId="9" fontId="2" fillId="2" borderId="10" xfId="0" applyNumberFormat="1" applyFont="1" applyFill="1" applyBorder="1" applyAlignment="1" applyProtection="1">
      <alignment horizontal="center" wrapText="1"/>
    </xf>
    <xf numFmtId="9" fontId="2" fillId="2" borderId="11" xfId="0" applyNumberFormat="1" applyFont="1" applyFill="1" applyBorder="1" applyAlignment="1" applyProtection="1">
      <alignment horizontal="center" wrapText="1"/>
    </xf>
    <xf numFmtId="9" fontId="2" fillId="4" borderId="4" xfId="0" applyNumberFormat="1" applyFont="1" applyFill="1" applyBorder="1" applyAlignment="1" applyProtection="1">
      <alignment horizontal="center" vertical="center" wrapText="1"/>
    </xf>
    <xf numFmtId="9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0" xfId="0" applyFont="1" applyFill="1" applyBorder="1" applyAlignment="1" applyProtection="1">
      <alignment horizontal="center" wrapText="1"/>
    </xf>
    <xf numFmtId="17" fontId="2" fillId="2" borderId="10" xfId="0" applyNumberFormat="1" applyFont="1" applyFill="1" applyBorder="1" applyAlignment="1" applyProtection="1">
      <alignment horizontal="center" wrapText="1"/>
    </xf>
    <xf numFmtId="17" fontId="2" fillId="2" borderId="11" xfId="0" applyNumberFormat="1" applyFont="1" applyFill="1" applyBorder="1" applyAlignment="1" applyProtection="1">
      <alignment horizontal="center" wrapText="1"/>
    </xf>
    <xf numFmtId="43" fontId="4" fillId="5" borderId="1" xfId="1" applyFont="1" applyFill="1" applyBorder="1" applyAlignment="1" applyProtection="1">
      <alignment horizontal="center" vertical="center"/>
      <protection locked="0"/>
    </xf>
    <xf numFmtId="43" fontId="0" fillId="5" borderId="12" xfId="1" applyFont="1" applyFill="1" applyBorder="1" applyAlignment="1" applyProtection="1">
      <alignment horizontal="center" vertical="center"/>
      <protection locked="0"/>
    </xf>
    <xf numFmtId="9" fontId="0" fillId="6" borderId="10" xfId="2" applyFont="1" applyFill="1" applyBorder="1" applyAlignment="1" applyProtection="1">
      <alignment horizontal="center" vertical="center"/>
    </xf>
    <xf numFmtId="9" fontId="0" fillId="6" borderId="11" xfId="2" applyFont="1" applyFill="1" applyBorder="1" applyAlignment="1" applyProtection="1">
      <alignment horizontal="center" vertical="center"/>
    </xf>
    <xf numFmtId="43" fontId="0" fillId="5" borderId="10" xfId="1" applyFont="1" applyFill="1" applyBorder="1" applyAlignment="1" applyProtection="1">
      <alignment horizontal="center" vertical="center"/>
    </xf>
    <xf numFmtId="43" fontId="0" fillId="5" borderId="11" xfId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42"/>
  <sheetViews>
    <sheetView tabSelected="1" zoomScale="85" zoomScaleNormal="85" workbookViewId="0">
      <selection activeCell="O34" sqref="O34:O35"/>
    </sheetView>
  </sheetViews>
  <sheetFormatPr defaultRowHeight="12.5" x14ac:dyDescent="0.25"/>
  <cols>
    <col min="1" max="1" width="3" customWidth="1"/>
    <col min="2" max="2" width="14.7265625" customWidth="1"/>
    <col min="3" max="5" width="15.1796875" customWidth="1"/>
    <col min="6" max="6" width="17.1796875" customWidth="1"/>
    <col min="7" max="7" width="12.453125" customWidth="1"/>
    <col min="8" max="8" width="15.7265625" customWidth="1"/>
    <col min="9" max="9" width="14.54296875" customWidth="1"/>
    <col min="10" max="14" width="12.26953125" customWidth="1"/>
    <col min="17" max="17" width="16.81640625" customWidth="1"/>
    <col min="18" max="18" width="15.453125" customWidth="1"/>
    <col min="19" max="19" width="19.26953125" customWidth="1"/>
    <col min="20" max="20" width="11.26953125" bestFit="1" customWidth="1"/>
  </cols>
  <sheetData>
    <row r="1" spans="2:20" ht="13" thickBot="1" x14ac:dyDescent="0.3">
      <c r="Q1" s="12"/>
    </row>
    <row r="2" spans="2:20" ht="13.5" customHeight="1" thickBot="1" x14ac:dyDescent="0.3">
      <c r="B2" s="33" t="s">
        <v>14</v>
      </c>
      <c r="C2" s="43"/>
      <c r="D2" s="43"/>
      <c r="E2" s="43"/>
      <c r="F2" s="43"/>
      <c r="G2" s="35"/>
      <c r="H2" s="35"/>
      <c r="I2" s="35"/>
      <c r="J2" s="35"/>
      <c r="K2" s="2"/>
      <c r="L2" s="2"/>
      <c r="M2" s="2"/>
      <c r="N2" s="14"/>
      <c r="O2" s="51"/>
      <c r="P2" s="51"/>
      <c r="Q2" s="56"/>
      <c r="R2" s="56"/>
      <c r="S2" s="52"/>
    </row>
    <row r="3" spans="2:20" ht="13.5" customHeight="1" thickBot="1" x14ac:dyDescent="0.3">
      <c r="B3" s="34"/>
      <c r="C3" s="44"/>
      <c r="D3" s="44"/>
      <c r="E3" s="44"/>
      <c r="F3" s="44"/>
      <c r="G3" s="36"/>
      <c r="H3" s="36"/>
      <c r="I3" s="36"/>
      <c r="J3" s="36"/>
      <c r="K3" s="3"/>
      <c r="L3" s="3"/>
      <c r="M3" s="3"/>
      <c r="N3" s="15"/>
      <c r="O3" s="54" t="s">
        <v>8</v>
      </c>
      <c r="P3" s="55"/>
      <c r="Q3" s="6"/>
      <c r="R3" s="7"/>
      <c r="S3" s="53"/>
    </row>
    <row r="4" spans="2:20" ht="20.25" customHeight="1" x14ac:dyDescent="0.35">
      <c r="B4" s="4" t="s">
        <v>0</v>
      </c>
      <c r="C4" s="8" t="s">
        <v>20</v>
      </c>
      <c r="D4" s="8"/>
      <c r="E4" s="8"/>
      <c r="F4" s="8"/>
      <c r="G4" s="71" t="s">
        <v>5</v>
      </c>
      <c r="H4" s="39" t="s">
        <v>15</v>
      </c>
      <c r="I4" s="37" t="s">
        <v>6</v>
      </c>
      <c r="J4" s="16" t="s">
        <v>7</v>
      </c>
      <c r="K4" s="22" t="s">
        <v>10</v>
      </c>
      <c r="L4" s="22" t="s">
        <v>17</v>
      </c>
      <c r="M4" s="22" t="s">
        <v>18</v>
      </c>
      <c r="N4" s="16" t="s">
        <v>19</v>
      </c>
      <c r="O4" s="72" t="s">
        <v>9</v>
      </c>
      <c r="P4" s="67" t="s">
        <v>1</v>
      </c>
      <c r="Q4" s="57" t="s">
        <v>11</v>
      </c>
      <c r="R4" s="57" t="s">
        <v>12</v>
      </c>
      <c r="S4" s="69" t="s">
        <v>13</v>
      </c>
    </row>
    <row r="5" spans="2:20" ht="13.5" customHeight="1" thickBot="1" x14ac:dyDescent="0.35">
      <c r="B5" s="63" t="s">
        <v>2</v>
      </c>
      <c r="C5" s="64"/>
      <c r="D5" s="5" t="s">
        <v>3</v>
      </c>
      <c r="E5" s="5" t="s">
        <v>4</v>
      </c>
      <c r="F5" s="5" t="s">
        <v>16</v>
      </c>
      <c r="G5" s="26"/>
      <c r="H5" s="40"/>
      <c r="I5" s="38"/>
      <c r="J5" s="17"/>
      <c r="K5" s="26"/>
      <c r="L5" s="26"/>
      <c r="M5" s="23"/>
      <c r="N5" s="17"/>
      <c r="O5" s="73"/>
      <c r="P5" s="68"/>
      <c r="Q5" s="58"/>
      <c r="R5" s="58"/>
      <c r="S5" s="70"/>
    </row>
    <row r="6" spans="2:20" x14ac:dyDescent="0.25">
      <c r="B6" s="45" t="s">
        <v>22</v>
      </c>
      <c r="C6" s="46"/>
      <c r="D6" s="27">
        <v>40750</v>
      </c>
      <c r="E6" s="27">
        <v>80472.649999999994</v>
      </c>
      <c r="F6" s="41">
        <v>0.18</v>
      </c>
      <c r="G6" s="49">
        <v>560.70000000000005</v>
      </c>
      <c r="H6" s="65">
        <v>10</v>
      </c>
      <c r="I6" s="31">
        <f>+G6+H6</f>
        <v>570.70000000000005</v>
      </c>
      <c r="J6" s="18">
        <f>+D6/I6</f>
        <v>71.403539512878922</v>
      </c>
      <c r="K6" s="74">
        <v>60909</v>
      </c>
      <c r="L6" s="74">
        <v>0</v>
      </c>
      <c r="M6" s="20">
        <f>+K6+L6</f>
        <v>60909</v>
      </c>
      <c r="N6" s="76">
        <f>(E6-M6)/E6</f>
        <v>0.24310930483835186</v>
      </c>
      <c r="O6" s="59">
        <v>85</v>
      </c>
      <c r="P6" s="29">
        <v>0.18</v>
      </c>
      <c r="Q6" s="31">
        <f>+(J6-O6)*I6</f>
        <v>-7759.5</v>
      </c>
      <c r="R6" s="31">
        <f>+E6-(M6/(1-P6))</f>
        <v>6193.3817073170794</v>
      </c>
      <c r="S6" s="61">
        <f>+Q6+R6</f>
        <v>-1566.1182926829206</v>
      </c>
    </row>
    <row r="7" spans="2:20" ht="13" thickBot="1" x14ac:dyDescent="0.3">
      <c r="B7" s="47"/>
      <c r="C7" s="48"/>
      <c r="D7" s="28"/>
      <c r="E7" s="28"/>
      <c r="F7" s="42"/>
      <c r="G7" s="50"/>
      <c r="H7" s="66"/>
      <c r="I7" s="32"/>
      <c r="J7" s="19"/>
      <c r="K7" s="75"/>
      <c r="L7" s="75"/>
      <c r="M7" s="21"/>
      <c r="N7" s="77"/>
      <c r="O7" s="60"/>
      <c r="P7" s="30"/>
      <c r="Q7" s="32"/>
      <c r="R7" s="32"/>
      <c r="S7" s="62"/>
      <c r="T7" s="13"/>
    </row>
    <row r="8" spans="2:20" ht="13.5" thickBot="1" x14ac:dyDescent="0.35">
      <c r="B8" s="1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5"/>
      <c r="T8" s="12"/>
    </row>
    <row r="9" spans="2:20" ht="13.5" customHeight="1" thickBot="1" x14ac:dyDescent="0.3">
      <c r="B9" s="33" t="s">
        <v>14</v>
      </c>
      <c r="C9" s="43"/>
      <c r="D9" s="43"/>
      <c r="E9" s="43"/>
      <c r="F9" s="43"/>
      <c r="G9" s="35"/>
      <c r="H9" s="35"/>
      <c r="I9" s="35"/>
      <c r="J9" s="35"/>
      <c r="K9" s="2"/>
      <c r="L9" s="2"/>
      <c r="M9" s="2"/>
      <c r="N9" s="14"/>
      <c r="O9" s="51"/>
      <c r="P9" s="51"/>
      <c r="Q9" s="56"/>
      <c r="R9" s="56"/>
      <c r="S9" s="52"/>
      <c r="T9" s="12"/>
    </row>
    <row r="10" spans="2:20" ht="13.5" customHeight="1" thickBot="1" x14ac:dyDescent="0.3">
      <c r="B10" s="34"/>
      <c r="C10" s="44"/>
      <c r="D10" s="44"/>
      <c r="E10" s="44"/>
      <c r="F10" s="44"/>
      <c r="G10" s="36"/>
      <c r="H10" s="36"/>
      <c r="I10" s="36"/>
      <c r="J10" s="36"/>
      <c r="K10" s="3"/>
      <c r="L10" s="3"/>
      <c r="M10" s="3"/>
      <c r="N10" s="15"/>
      <c r="O10" s="54" t="s">
        <v>8</v>
      </c>
      <c r="P10" s="55"/>
      <c r="Q10" s="6"/>
      <c r="R10" s="7"/>
      <c r="S10" s="53"/>
    </row>
    <row r="11" spans="2:20" ht="20.25" customHeight="1" x14ac:dyDescent="0.35">
      <c r="B11" s="4" t="s">
        <v>0</v>
      </c>
      <c r="C11" s="8" t="s">
        <v>21</v>
      </c>
      <c r="D11" s="8"/>
      <c r="E11" s="8"/>
      <c r="F11" s="8"/>
      <c r="G11" s="71" t="s">
        <v>5</v>
      </c>
      <c r="H11" s="39" t="s">
        <v>15</v>
      </c>
      <c r="I11" s="37" t="s">
        <v>6</v>
      </c>
      <c r="J11" s="16" t="s">
        <v>7</v>
      </c>
      <c r="K11" s="22" t="s">
        <v>10</v>
      </c>
      <c r="L11" s="22" t="s">
        <v>17</v>
      </c>
      <c r="M11" s="22" t="s">
        <v>18</v>
      </c>
      <c r="N11" s="16" t="s">
        <v>19</v>
      </c>
      <c r="O11" s="72" t="s">
        <v>9</v>
      </c>
      <c r="P11" s="67" t="s">
        <v>1</v>
      </c>
      <c r="Q11" s="57" t="s">
        <v>11</v>
      </c>
      <c r="R11" s="57" t="s">
        <v>12</v>
      </c>
      <c r="S11" s="69" t="s">
        <v>13</v>
      </c>
    </row>
    <row r="12" spans="2:20" ht="13.5" customHeight="1" thickBot="1" x14ac:dyDescent="0.35">
      <c r="B12" s="63" t="s">
        <v>2</v>
      </c>
      <c r="C12" s="64"/>
      <c r="D12" s="5" t="s">
        <v>3</v>
      </c>
      <c r="E12" s="5" t="s">
        <v>4</v>
      </c>
      <c r="F12" s="5" t="s">
        <v>16</v>
      </c>
      <c r="G12" s="26"/>
      <c r="H12" s="40"/>
      <c r="I12" s="38"/>
      <c r="J12" s="17"/>
      <c r="K12" s="26"/>
      <c r="L12" s="26"/>
      <c r="M12" s="23"/>
      <c r="N12" s="17"/>
      <c r="O12" s="73"/>
      <c r="P12" s="68"/>
      <c r="Q12" s="58"/>
      <c r="R12" s="58"/>
      <c r="S12" s="70"/>
    </row>
    <row r="13" spans="2:20" ht="15" customHeight="1" x14ac:dyDescent="0.25">
      <c r="B13" s="45" t="s">
        <v>23</v>
      </c>
      <c r="C13" s="46"/>
      <c r="D13" s="27">
        <v>46794</v>
      </c>
      <c r="E13" s="27">
        <v>72762</v>
      </c>
      <c r="F13" s="41">
        <v>0.2</v>
      </c>
      <c r="G13" s="49">
        <v>140.5</v>
      </c>
      <c r="H13" s="65">
        <v>350</v>
      </c>
      <c r="I13" s="31">
        <f>+G13+H13</f>
        <v>490.5</v>
      </c>
      <c r="J13" s="18">
        <f>+D13/I13</f>
        <v>95.400611620795104</v>
      </c>
      <c r="K13" s="74">
        <v>54045.75</v>
      </c>
      <c r="L13" s="74"/>
      <c r="M13" s="20">
        <f>+K13+L13</f>
        <v>54045.75</v>
      </c>
      <c r="N13" s="18">
        <f>+H13/M13</f>
        <v>6.4759948747126275E-3</v>
      </c>
      <c r="O13" s="59">
        <v>105</v>
      </c>
      <c r="P13" s="29">
        <v>0.23</v>
      </c>
      <c r="Q13" s="31">
        <f>+(J13-O13)*I13</f>
        <v>-4708.5000000000018</v>
      </c>
      <c r="R13" s="31">
        <f>+E13-(M13/(1-P13))</f>
        <v>2572.7142857142899</v>
      </c>
      <c r="S13" s="61">
        <f>+Q13+R13</f>
        <v>-2135.7857142857119</v>
      </c>
    </row>
    <row r="14" spans="2:20" ht="13" thickBot="1" x14ac:dyDescent="0.3">
      <c r="B14" s="47"/>
      <c r="C14" s="48"/>
      <c r="D14" s="28"/>
      <c r="E14" s="28"/>
      <c r="F14" s="42"/>
      <c r="G14" s="50"/>
      <c r="H14" s="66"/>
      <c r="I14" s="32"/>
      <c r="J14" s="19"/>
      <c r="K14" s="75"/>
      <c r="L14" s="75"/>
      <c r="M14" s="21"/>
      <c r="N14" s="19"/>
      <c r="O14" s="60"/>
      <c r="P14" s="30"/>
      <c r="Q14" s="32"/>
      <c r="R14" s="32"/>
      <c r="S14" s="62"/>
    </row>
    <row r="15" spans="2:20" ht="13.5" thickBot="1" x14ac:dyDescent="0.35">
      <c r="B15" s="1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5"/>
    </row>
    <row r="16" spans="2:20" ht="13.5" customHeight="1" thickBot="1" x14ac:dyDescent="0.3">
      <c r="B16" s="33" t="s">
        <v>14</v>
      </c>
      <c r="C16" s="43"/>
      <c r="D16" s="43"/>
      <c r="E16" s="43"/>
      <c r="F16" s="43"/>
      <c r="G16" s="35"/>
      <c r="H16" s="35"/>
      <c r="I16" s="35"/>
      <c r="J16" s="35"/>
      <c r="K16" s="2"/>
      <c r="L16" s="2"/>
      <c r="M16" s="2"/>
      <c r="N16" s="14"/>
      <c r="O16" s="51"/>
      <c r="P16" s="51"/>
      <c r="Q16" s="56"/>
      <c r="R16" s="56"/>
      <c r="S16" s="52"/>
    </row>
    <row r="17" spans="2:19" ht="13.5" customHeight="1" thickBot="1" x14ac:dyDescent="0.3">
      <c r="B17" s="34"/>
      <c r="C17" s="44"/>
      <c r="D17" s="44"/>
      <c r="E17" s="44"/>
      <c r="F17" s="44"/>
      <c r="G17" s="36"/>
      <c r="H17" s="36"/>
      <c r="I17" s="36"/>
      <c r="J17" s="36"/>
      <c r="K17" s="3"/>
      <c r="L17" s="3"/>
      <c r="M17" s="3"/>
      <c r="N17" s="15"/>
      <c r="O17" s="54" t="s">
        <v>8</v>
      </c>
      <c r="P17" s="55"/>
      <c r="Q17" s="6"/>
      <c r="R17" s="7"/>
      <c r="S17" s="53"/>
    </row>
    <row r="18" spans="2:19" ht="19.5" customHeight="1" x14ac:dyDescent="0.35">
      <c r="B18" s="4" t="s">
        <v>0</v>
      </c>
      <c r="C18" s="8" t="s">
        <v>24</v>
      </c>
      <c r="D18" s="8"/>
      <c r="E18" s="8"/>
      <c r="F18" s="8"/>
      <c r="G18" s="71" t="s">
        <v>5</v>
      </c>
      <c r="H18" s="39" t="s">
        <v>15</v>
      </c>
      <c r="I18" s="37" t="s">
        <v>6</v>
      </c>
      <c r="J18" s="16" t="s">
        <v>7</v>
      </c>
      <c r="K18" s="22" t="s">
        <v>10</v>
      </c>
      <c r="L18" s="22" t="s">
        <v>17</v>
      </c>
      <c r="M18" s="22" t="s">
        <v>18</v>
      </c>
      <c r="N18" s="16" t="s">
        <v>19</v>
      </c>
      <c r="O18" s="72" t="s">
        <v>9</v>
      </c>
      <c r="P18" s="67" t="s">
        <v>1</v>
      </c>
      <c r="Q18" s="57" t="s">
        <v>11</v>
      </c>
      <c r="R18" s="57" t="s">
        <v>12</v>
      </c>
      <c r="S18" s="69" t="s">
        <v>13</v>
      </c>
    </row>
    <row r="19" spans="2:19" ht="13.5" customHeight="1" thickBot="1" x14ac:dyDescent="0.35">
      <c r="B19" s="63" t="s">
        <v>2</v>
      </c>
      <c r="C19" s="64"/>
      <c r="D19" s="5" t="s">
        <v>3</v>
      </c>
      <c r="E19" s="5" t="s">
        <v>4</v>
      </c>
      <c r="F19" s="5" t="s">
        <v>16</v>
      </c>
      <c r="G19" s="26"/>
      <c r="H19" s="40"/>
      <c r="I19" s="38"/>
      <c r="J19" s="17"/>
      <c r="K19" s="26"/>
      <c r="L19" s="26"/>
      <c r="M19" s="23"/>
      <c r="N19" s="17"/>
      <c r="O19" s="73"/>
      <c r="P19" s="68"/>
      <c r="Q19" s="58"/>
      <c r="R19" s="58"/>
      <c r="S19" s="70"/>
    </row>
    <row r="20" spans="2:19" ht="15" customHeight="1" x14ac:dyDescent="0.25">
      <c r="B20" s="45" t="s">
        <v>25</v>
      </c>
      <c r="C20" s="46"/>
      <c r="D20" s="27">
        <v>5000</v>
      </c>
      <c r="E20" s="27">
        <v>25038</v>
      </c>
      <c r="F20" s="41">
        <v>0.25</v>
      </c>
      <c r="G20" s="49">
        <v>36</v>
      </c>
      <c r="H20" s="65">
        <v>10</v>
      </c>
      <c r="I20" s="31">
        <v>40</v>
      </c>
      <c r="J20" s="18">
        <v>115</v>
      </c>
      <c r="K20" s="78">
        <v>16728</v>
      </c>
      <c r="L20" s="78"/>
      <c r="M20" s="20">
        <f>+K20+L20</f>
        <v>16728</v>
      </c>
      <c r="N20" s="18">
        <f>+H20/M20</f>
        <v>5.9780009564801534E-4</v>
      </c>
      <c r="O20" s="59">
        <v>115</v>
      </c>
      <c r="P20" s="29">
        <v>0.2</v>
      </c>
      <c r="Q20" s="31">
        <f>+(J20-O20)*I20</f>
        <v>0</v>
      </c>
      <c r="R20" s="31">
        <f>+E20-(M20/(1-P20))</f>
        <v>4128</v>
      </c>
      <c r="S20" s="61">
        <f>+Q20+R20</f>
        <v>4128</v>
      </c>
    </row>
    <row r="21" spans="2:19" ht="13" thickBot="1" x14ac:dyDescent="0.3">
      <c r="B21" s="47"/>
      <c r="C21" s="48"/>
      <c r="D21" s="28"/>
      <c r="E21" s="28"/>
      <c r="F21" s="42"/>
      <c r="G21" s="50"/>
      <c r="H21" s="66"/>
      <c r="I21" s="32"/>
      <c r="J21" s="19"/>
      <c r="K21" s="79"/>
      <c r="L21" s="79"/>
      <c r="M21" s="21"/>
      <c r="N21" s="19"/>
      <c r="O21" s="60"/>
      <c r="P21" s="30"/>
      <c r="Q21" s="32"/>
      <c r="R21" s="32"/>
      <c r="S21" s="62"/>
    </row>
    <row r="22" spans="2:19" ht="13.5" thickBot="1" x14ac:dyDescent="0.35">
      <c r="B22" s="1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5"/>
    </row>
    <row r="23" spans="2:19" ht="13.5" customHeight="1" thickBot="1" x14ac:dyDescent="0.3">
      <c r="B23" s="33" t="s">
        <v>14</v>
      </c>
      <c r="C23" s="43" t="s">
        <v>26</v>
      </c>
      <c r="D23" s="43"/>
      <c r="E23" s="43"/>
      <c r="F23" s="43"/>
      <c r="G23" s="35"/>
      <c r="H23" s="35"/>
      <c r="I23" s="35"/>
      <c r="J23" s="35"/>
      <c r="K23" s="2"/>
      <c r="L23" s="2"/>
      <c r="M23" s="2"/>
      <c r="N23" s="14"/>
      <c r="O23" s="51"/>
      <c r="P23" s="51"/>
      <c r="Q23" s="56"/>
      <c r="R23" s="56"/>
      <c r="S23" s="52"/>
    </row>
    <row r="24" spans="2:19" ht="13.5" customHeight="1" thickBot="1" x14ac:dyDescent="0.3">
      <c r="B24" s="34"/>
      <c r="C24" s="44"/>
      <c r="D24" s="44"/>
      <c r="E24" s="44"/>
      <c r="F24" s="44"/>
      <c r="G24" s="36"/>
      <c r="H24" s="36"/>
      <c r="I24" s="36"/>
      <c r="J24" s="36"/>
      <c r="K24" s="3"/>
      <c r="L24" s="3"/>
      <c r="M24" s="3"/>
      <c r="N24" s="15"/>
      <c r="O24" s="54" t="s">
        <v>8</v>
      </c>
      <c r="P24" s="55"/>
      <c r="Q24" s="6"/>
      <c r="R24" s="7"/>
      <c r="S24" s="53"/>
    </row>
    <row r="25" spans="2:19" ht="15.75" customHeight="1" x14ac:dyDescent="0.35">
      <c r="B25" s="4" t="s">
        <v>0</v>
      </c>
      <c r="C25" s="8" t="s">
        <v>27</v>
      </c>
      <c r="D25" s="8"/>
      <c r="E25" s="8"/>
      <c r="F25" s="8"/>
      <c r="G25" s="71" t="s">
        <v>5</v>
      </c>
      <c r="H25" s="39" t="s">
        <v>15</v>
      </c>
      <c r="I25" s="37" t="s">
        <v>6</v>
      </c>
      <c r="J25" s="16" t="s">
        <v>7</v>
      </c>
      <c r="K25" s="22" t="s">
        <v>10</v>
      </c>
      <c r="L25" s="22" t="s">
        <v>17</v>
      </c>
      <c r="M25" s="22" t="s">
        <v>18</v>
      </c>
      <c r="N25" s="16" t="s">
        <v>19</v>
      </c>
      <c r="O25" s="72" t="s">
        <v>9</v>
      </c>
      <c r="P25" s="67" t="s">
        <v>1</v>
      </c>
      <c r="Q25" s="57" t="s">
        <v>11</v>
      </c>
      <c r="R25" s="57" t="s">
        <v>12</v>
      </c>
      <c r="S25" s="69" t="s">
        <v>13</v>
      </c>
    </row>
    <row r="26" spans="2:19" ht="18" customHeight="1" thickBot="1" x14ac:dyDescent="0.35">
      <c r="B26" s="63" t="s">
        <v>2</v>
      </c>
      <c r="C26" s="64"/>
      <c r="D26" s="5" t="s">
        <v>3</v>
      </c>
      <c r="E26" s="5" t="s">
        <v>4</v>
      </c>
      <c r="F26" s="5" t="s">
        <v>16</v>
      </c>
      <c r="G26" s="26"/>
      <c r="H26" s="40"/>
      <c r="I26" s="38"/>
      <c r="J26" s="17"/>
      <c r="K26" s="26"/>
      <c r="L26" s="26"/>
      <c r="M26" s="23"/>
      <c r="N26" s="17"/>
      <c r="O26" s="73"/>
      <c r="P26" s="68"/>
      <c r="Q26" s="58"/>
      <c r="R26" s="58"/>
      <c r="S26" s="70"/>
    </row>
    <row r="27" spans="2:19" ht="15" customHeight="1" x14ac:dyDescent="0.25">
      <c r="B27" s="45" t="s">
        <v>28</v>
      </c>
      <c r="C27" s="46"/>
      <c r="D27" s="27">
        <v>87750</v>
      </c>
      <c r="E27" s="27"/>
      <c r="F27" s="41"/>
      <c r="G27" s="49">
        <v>552</v>
      </c>
      <c r="H27" s="65">
        <v>150</v>
      </c>
      <c r="I27" s="31">
        <f>+G27+H27</f>
        <v>702</v>
      </c>
      <c r="J27" s="18">
        <f>+D27/I27</f>
        <v>125</v>
      </c>
      <c r="K27" s="78"/>
      <c r="L27" s="78"/>
      <c r="M27" s="20">
        <f>+K27+L27</f>
        <v>0</v>
      </c>
      <c r="N27" s="18" t="e">
        <f>+H27/M27</f>
        <v>#DIV/0!</v>
      </c>
      <c r="O27" s="59"/>
      <c r="P27" s="29"/>
      <c r="Q27" s="31">
        <f>+(J27-O27)*I27</f>
        <v>87750</v>
      </c>
      <c r="R27" s="31">
        <f>+E27-(M27/(1-P27))</f>
        <v>0</v>
      </c>
      <c r="S27" s="61">
        <f>+Q27+R27</f>
        <v>87750</v>
      </c>
    </row>
    <row r="28" spans="2:19" ht="13" thickBot="1" x14ac:dyDescent="0.3">
      <c r="B28" s="47"/>
      <c r="C28" s="48"/>
      <c r="D28" s="28"/>
      <c r="E28" s="28"/>
      <c r="F28" s="42"/>
      <c r="G28" s="50"/>
      <c r="H28" s="66"/>
      <c r="I28" s="32"/>
      <c r="J28" s="19"/>
      <c r="K28" s="79"/>
      <c r="L28" s="79"/>
      <c r="M28" s="21"/>
      <c r="N28" s="19"/>
      <c r="O28" s="60"/>
      <c r="P28" s="30"/>
      <c r="Q28" s="32"/>
      <c r="R28" s="32"/>
      <c r="S28" s="62"/>
    </row>
    <row r="29" spans="2:19" ht="13" thickBot="1" x14ac:dyDescent="0.3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1"/>
    </row>
    <row r="30" spans="2:19" ht="13.5" customHeight="1" thickBot="1" x14ac:dyDescent="0.3">
      <c r="B30" s="33" t="s">
        <v>14</v>
      </c>
      <c r="C30" s="43" t="s">
        <v>29</v>
      </c>
      <c r="D30" s="43"/>
      <c r="E30" s="43"/>
      <c r="F30" s="43"/>
      <c r="G30" s="35"/>
      <c r="H30" s="35"/>
      <c r="I30" s="35"/>
      <c r="J30" s="35"/>
      <c r="K30" s="2"/>
      <c r="L30" s="2"/>
      <c r="M30" s="2"/>
      <c r="N30" s="14"/>
      <c r="O30" s="51"/>
      <c r="P30" s="51"/>
      <c r="Q30" s="56"/>
      <c r="R30" s="56"/>
      <c r="S30" s="52"/>
    </row>
    <row r="31" spans="2:19" ht="13.5" customHeight="1" thickBot="1" x14ac:dyDescent="0.3">
      <c r="B31" s="34"/>
      <c r="C31" s="44"/>
      <c r="D31" s="44"/>
      <c r="E31" s="44"/>
      <c r="F31" s="44"/>
      <c r="G31" s="36"/>
      <c r="H31" s="36"/>
      <c r="I31" s="36"/>
      <c r="J31" s="36"/>
      <c r="K31" s="3"/>
      <c r="L31" s="3"/>
      <c r="M31" s="3"/>
      <c r="N31" s="15"/>
      <c r="O31" s="54" t="s">
        <v>8</v>
      </c>
      <c r="P31" s="55"/>
      <c r="Q31" s="6"/>
      <c r="R31" s="7"/>
      <c r="S31" s="53"/>
    </row>
    <row r="32" spans="2:19" ht="21" customHeight="1" x14ac:dyDescent="0.35">
      <c r="B32" s="4" t="s">
        <v>0</v>
      </c>
      <c r="C32" s="8" t="s">
        <v>30</v>
      </c>
      <c r="D32" s="8"/>
      <c r="E32" s="8"/>
      <c r="F32" s="8"/>
      <c r="G32" s="71" t="s">
        <v>5</v>
      </c>
      <c r="H32" s="39" t="s">
        <v>15</v>
      </c>
      <c r="I32" s="37" t="s">
        <v>6</v>
      </c>
      <c r="J32" s="16" t="s">
        <v>7</v>
      </c>
      <c r="K32" s="22" t="s">
        <v>10</v>
      </c>
      <c r="L32" s="22" t="s">
        <v>17</v>
      </c>
      <c r="M32" s="22" t="s">
        <v>18</v>
      </c>
      <c r="N32" s="16" t="s">
        <v>19</v>
      </c>
      <c r="O32" s="72" t="s">
        <v>9</v>
      </c>
      <c r="P32" s="67" t="s">
        <v>1</v>
      </c>
      <c r="Q32" s="57" t="s">
        <v>11</v>
      </c>
      <c r="R32" s="57" t="s">
        <v>12</v>
      </c>
      <c r="S32" s="69" t="s">
        <v>13</v>
      </c>
    </row>
    <row r="33" spans="2:19" ht="13.5" customHeight="1" thickBot="1" x14ac:dyDescent="0.35">
      <c r="B33" s="63" t="s">
        <v>2</v>
      </c>
      <c r="C33" s="64"/>
      <c r="D33" s="5" t="s">
        <v>3</v>
      </c>
      <c r="E33" s="5" t="s">
        <v>4</v>
      </c>
      <c r="F33" s="5" t="s">
        <v>16</v>
      </c>
      <c r="G33" s="26"/>
      <c r="H33" s="40"/>
      <c r="I33" s="38"/>
      <c r="J33" s="17"/>
      <c r="K33" s="26"/>
      <c r="L33" s="26"/>
      <c r="M33" s="23"/>
      <c r="N33" s="17"/>
      <c r="O33" s="73"/>
      <c r="P33" s="68"/>
      <c r="Q33" s="58"/>
      <c r="R33" s="58"/>
      <c r="S33" s="70"/>
    </row>
    <row r="34" spans="2:19" ht="15" customHeight="1" x14ac:dyDescent="0.25">
      <c r="B34" s="45" t="s">
        <v>31</v>
      </c>
      <c r="C34" s="46"/>
      <c r="D34" s="27">
        <v>112870</v>
      </c>
      <c r="E34" s="27">
        <v>381301</v>
      </c>
      <c r="F34" s="41">
        <v>0.2</v>
      </c>
      <c r="G34" s="49">
        <v>803</v>
      </c>
      <c r="H34" s="65">
        <v>120</v>
      </c>
      <c r="I34" s="31">
        <f>+G34+H34</f>
        <v>923</v>
      </c>
      <c r="J34" s="18">
        <f>+D34/I34</f>
        <v>122.28602383531961</v>
      </c>
      <c r="K34" s="78">
        <v>241129</v>
      </c>
      <c r="L34" s="78">
        <v>80000</v>
      </c>
      <c r="M34" s="20">
        <f>+K34+L34</f>
        <v>321129</v>
      </c>
      <c r="N34" s="18">
        <v>25</v>
      </c>
      <c r="O34" s="59">
        <v>120</v>
      </c>
      <c r="P34" s="29">
        <v>0.14000000000000001</v>
      </c>
      <c r="Q34" s="31">
        <f>+(J34-O34)*I34</f>
        <v>2110.0000000000009</v>
      </c>
      <c r="R34" s="31">
        <f>+E34-(M34/(1-P34))</f>
        <v>7895.1860465116333</v>
      </c>
      <c r="S34" s="61">
        <f>+Q34+R34</f>
        <v>10005.186046511633</v>
      </c>
    </row>
    <row r="35" spans="2:19" ht="13" thickBot="1" x14ac:dyDescent="0.3">
      <c r="B35" s="47"/>
      <c r="C35" s="48"/>
      <c r="D35" s="28"/>
      <c r="E35" s="28"/>
      <c r="F35" s="42"/>
      <c r="G35" s="50"/>
      <c r="H35" s="66"/>
      <c r="I35" s="32"/>
      <c r="J35" s="19"/>
      <c r="K35" s="79"/>
      <c r="L35" s="79"/>
      <c r="M35" s="21"/>
      <c r="N35" s="19"/>
      <c r="O35" s="60"/>
      <c r="P35" s="30"/>
      <c r="Q35" s="32"/>
      <c r="R35" s="32"/>
      <c r="S35" s="62"/>
    </row>
    <row r="36" spans="2:19" ht="13.5" thickBot="1" x14ac:dyDescent="0.35">
      <c r="B36" s="1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5"/>
    </row>
    <row r="37" spans="2:19" ht="13.5" customHeight="1" thickBot="1" x14ac:dyDescent="0.3">
      <c r="B37" s="33" t="s">
        <v>14</v>
      </c>
      <c r="C37" s="43"/>
      <c r="D37" s="43"/>
      <c r="E37" s="43"/>
      <c r="F37" s="43"/>
      <c r="G37" s="35"/>
      <c r="H37" s="35"/>
      <c r="I37" s="35"/>
      <c r="J37" s="35"/>
      <c r="K37" s="2"/>
      <c r="L37" s="2"/>
      <c r="M37" s="2"/>
      <c r="N37" s="14"/>
      <c r="O37" s="51"/>
      <c r="P37" s="51"/>
      <c r="Q37" s="56"/>
      <c r="R37" s="56"/>
      <c r="S37" s="52"/>
    </row>
    <row r="38" spans="2:19" ht="13.5" customHeight="1" thickBot="1" x14ac:dyDescent="0.3">
      <c r="B38" s="34"/>
      <c r="C38" s="44"/>
      <c r="D38" s="44"/>
      <c r="E38" s="44"/>
      <c r="F38" s="44"/>
      <c r="G38" s="36"/>
      <c r="H38" s="36"/>
      <c r="I38" s="36"/>
      <c r="J38" s="36"/>
      <c r="K38" s="3"/>
      <c r="L38" s="3"/>
      <c r="M38" s="3"/>
      <c r="N38" s="15"/>
      <c r="O38" s="54" t="s">
        <v>8</v>
      </c>
      <c r="P38" s="55"/>
      <c r="Q38" s="6"/>
      <c r="R38" s="7"/>
      <c r="S38" s="53"/>
    </row>
    <row r="39" spans="2:19" ht="21" customHeight="1" x14ac:dyDescent="0.35">
      <c r="B39" s="4" t="s">
        <v>0</v>
      </c>
      <c r="C39" s="8"/>
      <c r="D39" s="8"/>
      <c r="E39" s="8"/>
      <c r="F39" s="8"/>
      <c r="G39" s="71" t="s">
        <v>5</v>
      </c>
      <c r="H39" s="39" t="s">
        <v>15</v>
      </c>
      <c r="I39" s="37" t="s">
        <v>6</v>
      </c>
      <c r="J39" s="16" t="s">
        <v>7</v>
      </c>
      <c r="K39" s="22" t="s">
        <v>10</v>
      </c>
      <c r="L39" s="22" t="s">
        <v>17</v>
      </c>
      <c r="M39" s="22" t="s">
        <v>18</v>
      </c>
      <c r="N39" s="16" t="s">
        <v>19</v>
      </c>
      <c r="O39" s="72" t="s">
        <v>9</v>
      </c>
      <c r="P39" s="67" t="s">
        <v>1</v>
      </c>
      <c r="Q39" s="57" t="s">
        <v>11</v>
      </c>
      <c r="R39" s="57" t="s">
        <v>12</v>
      </c>
      <c r="S39" s="69" t="s">
        <v>13</v>
      </c>
    </row>
    <row r="40" spans="2:19" ht="13.5" customHeight="1" thickBot="1" x14ac:dyDescent="0.35">
      <c r="B40" s="63" t="s">
        <v>2</v>
      </c>
      <c r="C40" s="64"/>
      <c r="D40" s="5" t="s">
        <v>3</v>
      </c>
      <c r="E40" s="5" t="s">
        <v>4</v>
      </c>
      <c r="F40" s="5" t="s">
        <v>16</v>
      </c>
      <c r="G40" s="26"/>
      <c r="H40" s="40"/>
      <c r="I40" s="38"/>
      <c r="J40" s="17"/>
      <c r="K40" s="26"/>
      <c r="L40" s="26"/>
      <c r="M40" s="23"/>
      <c r="N40" s="17"/>
      <c r="O40" s="73"/>
      <c r="P40" s="68"/>
      <c r="Q40" s="58"/>
      <c r="R40" s="58"/>
      <c r="S40" s="70"/>
    </row>
    <row r="41" spans="2:19" x14ac:dyDescent="0.25">
      <c r="B41" s="45"/>
      <c r="C41" s="46"/>
      <c r="D41" s="27"/>
      <c r="E41" s="27"/>
      <c r="F41" s="41"/>
      <c r="G41" s="49"/>
      <c r="H41" s="65"/>
      <c r="I41" s="31">
        <f>+G41+H41</f>
        <v>0</v>
      </c>
      <c r="J41" s="18" t="e">
        <f>+D41/I41</f>
        <v>#DIV/0!</v>
      </c>
      <c r="K41" s="78"/>
      <c r="L41" s="78"/>
      <c r="M41" s="20">
        <f>+K41+L41</f>
        <v>0</v>
      </c>
      <c r="N41" s="18" t="e">
        <f>+H41/M41</f>
        <v>#DIV/0!</v>
      </c>
      <c r="O41" s="59"/>
      <c r="P41" s="29"/>
      <c r="Q41" s="31" t="e">
        <f>+(J41-O41)*I41</f>
        <v>#DIV/0!</v>
      </c>
      <c r="R41" s="31">
        <f>+E41-(M41/(1-P41))</f>
        <v>0</v>
      </c>
      <c r="S41" s="61" t="e">
        <f>+Q41+R41</f>
        <v>#DIV/0!</v>
      </c>
    </row>
    <row r="42" spans="2:19" ht="13" thickBot="1" x14ac:dyDescent="0.3">
      <c r="B42" s="47"/>
      <c r="C42" s="48"/>
      <c r="D42" s="28"/>
      <c r="E42" s="28"/>
      <c r="F42" s="42"/>
      <c r="G42" s="50"/>
      <c r="H42" s="66"/>
      <c r="I42" s="32"/>
      <c r="J42" s="19"/>
      <c r="K42" s="79"/>
      <c r="L42" s="79"/>
      <c r="M42" s="21"/>
      <c r="N42" s="19"/>
      <c r="O42" s="60"/>
      <c r="P42" s="30"/>
      <c r="Q42" s="32"/>
      <c r="R42" s="32"/>
      <c r="S42" s="62"/>
    </row>
  </sheetData>
  <mergeCells count="232">
    <mergeCell ref="S41:S42"/>
    <mergeCell ref="K41:K42"/>
    <mergeCell ref="L41:L42"/>
    <mergeCell ref="O41:O42"/>
    <mergeCell ref="P41:P42"/>
    <mergeCell ref="Q41:Q42"/>
    <mergeCell ref="R41:R42"/>
    <mergeCell ref="S39:S40"/>
    <mergeCell ref="B40:C40"/>
    <mergeCell ref="B41:C42"/>
    <mergeCell ref="D41:D42"/>
    <mergeCell ref="E41:E42"/>
    <mergeCell ref="F41:F42"/>
    <mergeCell ref="G41:G42"/>
    <mergeCell ref="H41:H42"/>
    <mergeCell ref="I41:I42"/>
    <mergeCell ref="J41:J42"/>
    <mergeCell ref="K39:K40"/>
    <mergeCell ref="L39:L40"/>
    <mergeCell ref="O39:O40"/>
    <mergeCell ref="P39:P40"/>
    <mergeCell ref="Q39:Q40"/>
    <mergeCell ref="R39:R40"/>
    <mergeCell ref="G39:G40"/>
    <mergeCell ref="O37:P37"/>
    <mergeCell ref="Q37:R37"/>
    <mergeCell ref="S37:S38"/>
    <mergeCell ref="O38:P38"/>
    <mergeCell ref="H34:H35"/>
    <mergeCell ref="I34:I35"/>
    <mergeCell ref="J34:J35"/>
    <mergeCell ref="K34:K35"/>
    <mergeCell ref="L34:L35"/>
    <mergeCell ref="O34:O35"/>
    <mergeCell ref="R34:R35"/>
    <mergeCell ref="S34:S35"/>
    <mergeCell ref="P32:P33"/>
    <mergeCell ref="Q32:Q33"/>
    <mergeCell ref="R32:R33"/>
    <mergeCell ref="P27:P28"/>
    <mergeCell ref="Q27:Q28"/>
    <mergeCell ref="R27:R28"/>
    <mergeCell ref="S27:S28"/>
    <mergeCell ref="B30:B31"/>
    <mergeCell ref="C30:F31"/>
    <mergeCell ref="G30:J31"/>
    <mergeCell ref="O30:P30"/>
    <mergeCell ref="Q30:R30"/>
    <mergeCell ref="S30:S31"/>
    <mergeCell ref="H27:H28"/>
    <mergeCell ref="I27:I28"/>
    <mergeCell ref="J27:J28"/>
    <mergeCell ref="K27:K28"/>
    <mergeCell ref="L27:L28"/>
    <mergeCell ref="O27:O28"/>
    <mergeCell ref="O31:P31"/>
    <mergeCell ref="B33:C33"/>
    <mergeCell ref="K32:K33"/>
    <mergeCell ref="L32:L33"/>
    <mergeCell ref="O32:O33"/>
    <mergeCell ref="S25:S26"/>
    <mergeCell ref="L20:L21"/>
    <mergeCell ref="O20:O21"/>
    <mergeCell ref="P20:P21"/>
    <mergeCell ref="Q20:Q21"/>
    <mergeCell ref="R20:R21"/>
    <mergeCell ref="C22:S22"/>
    <mergeCell ref="G25:G26"/>
    <mergeCell ref="H25:H26"/>
    <mergeCell ref="I25:I26"/>
    <mergeCell ref="J25:J26"/>
    <mergeCell ref="S23:S24"/>
    <mergeCell ref="O24:P24"/>
    <mergeCell ref="O23:P23"/>
    <mergeCell ref="Q23:R23"/>
    <mergeCell ref="B26:C26"/>
    <mergeCell ref="L25:L26"/>
    <mergeCell ref="O25:O26"/>
    <mergeCell ref="P25:P26"/>
    <mergeCell ref="S20:S21"/>
    <mergeCell ref="M20:M21"/>
    <mergeCell ref="B20:C21"/>
    <mergeCell ref="J20:J21"/>
    <mergeCell ref="K20:K21"/>
    <mergeCell ref="F13:F14"/>
    <mergeCell ref="K13:K14"/>
    <mergeCell ref="L13:L14"/>
    <mergeCell ref="Q13:Q14"/>
    <mergeCell ref="O4:O5"/>
    <mergeCell ref="N4:N5"/>
    <mergeCell ref="N6:N7"/>
    <mergeCell ref="R13:R14"/>
    <mergeCell ref="B16:B17"/>
    <mergeCell ref="C16:F17"/>
    <mergeCell ref="G16:J17"/>
    <mergeCell ref="O16:P16"/>
    <mergeCell ref="Q16:R16"/>
    <mergeCell ref="O13:O14"/>
    <mergeCell ref="P13:P14"/>
    <mergeCell ref="C15:S15"/>
    <mergeCell ref="S16:S17"/>
    <mergeCell ref="O17:P17"/>
    <mergeCell ref="K11:K12"/>
    <mergeCell ref="S32:S33"/>
    <mergeCell ref="G32:G33"/>
    <mergeCell ref="H32:H33"/>
    <mergeCell ref="I32:I33"/>
    <mergeCell ref="J32:J33"/>
    <mergeCell ref="Q4:Q5"/>
    <mergeCell ref="Q6:Q7"/>
    <mergeCell ref="K4:K5"/>
    <mergeCell ref="K6:K7"/>
    <mergeCell ref="L4:L5"/>
    <mergeCell ref="L6:L7"/>
    <mergeCell ref="S18:S19"/>
    <mergeCell ref="K18:K19"/>
    <mergeCell ref="L18:L19"/>
    <mergeCell ref="O18:O19"/>
    <mergeCell ref="P18:P19"/>
    <mergeCell ref="Q18:Q19"/>
    <mergeCell ref="R18:R19"/>
    <mergeCell ref="G18:G19"/>
    <mergeCell ref="H18:H19"/>
    <mergeCell ref="Q25:Q26"/>
    <mergeCell ref="R25:R26"/>
    <mergeCell ref="K25:K26"/>
    <mergeCell ref="I20:I21"/>
    <mergeCell ref="B27:C28"/>
    <mergeCell ref="D27:D28"/>
    <mergeCell ref="E27:E28"/>
    <mergeCell ref="F27:F28"/>
    <mergeCell ref="G27:G28"/>
    <mergeCell ref="D20:D21"/>
    <mergeCell ref="E20:E21"/>
    <mergeCell ref="F20:F21"/>
    <mergeCell ref="G20:G21"/>
    <mergeCell ref="H20:H21"/>
    <mergeCell ref="O9:P9"/>
    <mergeCell ref="S9:S10"/>
    <mergeCell ref="O10:P10"/>
    <mergeCell ref="B19:C19"/>
    <mergeCell ref="C9:F10"/>
    <mergeCell ref="Q9:R9"/>
    <mergeCell ref="I18:I19"/>
    <mergeCell ref="J18:J19"/>
    <mergeCell ref="S13:S14"/>
    <mergeCell ref="B12:C12"/>
    <mergeCell ref="B13:C14"/>
    <mergeCell ref="G13:G14"/>
    <mergeCell ref="H13:H14"/>
    <mergeCell ref="I13:I14"/>
    <mergeCell ref="J13:J14"/>
    <mergeCell ref="P11:P12"/>
    <mergeCell ref="S11:S12"/>
    <mergeCell ref="Q11:Q12"/>
    <mergeCell ref="R11:R12"/>
    <mergeCell ref="G11:G12"/>
    <mergeCell ref="H11:H12"/>
    <mergeCell ref="N11:N12"/>
    <mergeCell ref="O11:O12"/>
    <mergeCell ref="O2:P2"/>
    <mergeCell ref="S2:S3"/>
    <mergeCell ref="O3:P3"/>
    <mergeCell ref="Q2:R2"/>
    <mergeCell ref="C2:F3"/>
    <mergeCell ref="M6:M7"/>
    <mergeCell ref="M13:M14"/>
    <mergeCell ref="C8:S8"/>
    <mergeCell ref="R4:R5"/>
    <mergeCell ref="R6:R7"/>
    <mergeCell ref="O6:O7"/>
    <mergeCell ref="P6:P7"/>
    <mergeCell ref="S6:S7"/>
    <mergeCell ref="B5:C5"/>
    <mergeCell ref="B6:C7"/>
    <mergeCell ref="G6:G7"/>
    <mergeCell ref="H6:H7"/>
    <mergeCell ref="I6:I7"/>
    <mergeCell ref="J6:J7"/>
    <mergeCell ref="P4:P5"/>
    <mergeCell ref="S4:S5"/>
    <mergeCell ref="G4:G5"/>
    <mergeCell ref="H4:H5"/>
    <mergeCell ref="I4:I5"/>
    <mergeCell ref="B2:B3"/>
    <mergeCell ref="G2:J3"/>
    <mergeCell ref="J4:J5"/>
    <mergeCell ref="I11:I12"/>
    <mergeCell ref="J11:J12"/>
    <mergeCell ref="H39:H40"/>
    <mergeCell ref="I39:I40"/>
    <mergeCell ref="J39:J40"/>
    <mergeCell ref="D6:D7"/>
    <mergeCell ref="E6:E7"/>
    <mergeCell ref="F6:F7"/>
    <mergeCell ref="C37:F38"/>
    <mergeCell ref="G37:J38"/>
    <mergeCell ref="B9:B10"/>
    <mergeCell ref="G9:J10"/>
    <mergeCell ref="B37:B38"/>
    <mergeCell ref="B23:B24"/>
    <mergeCell ref="C23:F24"/>
    <mergeCell ref="G23:J24"/>
    <mergeCell ref="B34:C35"/>
    <mergeCell ref="D34:D35"/>
    <mergeCell ref="E34:E35"/>
    <mergeCell ref="F34:F35"/>
    <mergeCell ref="G34:G35"/>
    <mergeCell ref="N39:N40"/>
    <mergeCell ref="N41:N42"/>
    <mergeCell ref="M41:M42"/>
    <mergeCell ref="M4:M5"/>
    <mergeCell ref="M11:M12"/>
    <mergeCell ref="M18:M19"/>
    <mergeCell ref="M25:M26"/>
    <mergeCell ref="M32:M33"/>
    <mergeCell ref="M39:M40"/>
    <mergeCell ref="C36:S36"/>
    <mergeCell ref="N20:N21"/>
    <mergeCell ref="N25:N26"/>
    <mergeCell ref="N27:N28"/>
    <mergeCell ref="N32:N33"/>
    <mergeCell ref="N34:N35"/>
    <mergeCell ref="L11:L12"/>
    <mergeCell ref="D13:D14"/>
    <mergeCell ref="E13:E14"/>
    <mergeCell ref="N13:N14"/>
    <mergeCell ref="N18:N19"/>
    <mergeCell ref="M27:M28"/>
    <mergeCell ref="M34:M35"/>
    <mergeCell ref="P34:P35"/>
    <mergeCell ref="Q34:Q35"/>
  </mergeCells>
  <conditionalFormatting sqref="S6:S7">
    <cfRule type="cellIs" dxfId="5" priority="16" operator="notBetween">
      <formula>-10000</formula>
      <formula>10000</formula>
    </cfRule>
  </conditionalFormatting>
  <conditionalFormatting sqref="S13:S14">
    <cfRule type="cellIs" dxfId="4" priority="5" operator="notBetween">
      <formula>-10000</formula>
      <formula>10000</formula>
    </cfRule>
  </conditionalFormatting>
  <conditionalFormatting sqref="S20:S21">
    <cfRule type="cellIs" dxfId="3" priority="4" operator="notBetween">
      <formula>-10000</formula>
      <formula>10000</formula>
    </cfRule>
  </conditionalFormatting>
  <conditionalFormatting sqref="S27:S28">
    <cfRule type="cellIs" dxfId="2" priority="3" operator="notBetween">
      <formula>-10000</formula>
      <formula>10000</formula>
    </cfRule>
  </conditionalFormatting>
  <conditionalFormatting sqref="S34:S35">
    <cfRule type="cellIs" dxfId="1" priority="2" operator="notBetween">
      <formula>-10000</formula>
      <formula>10000</formula>
    </cfRule>
  </conditionalFormatting>
  <conditionalFormatting sqref="S41:S42">
    <cfRule type="cellIs" dxfId="0" priority="1" operator="notBetween">
      <formula>-10000</formula>
      <formula>10000</formula>
    </cfRule>
  </conditionalFormatting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Tracker WIP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Matt Nelson</cp:lastModifiedBy>
  <dcterms:created xsi:type="dcterms:W3CDTF">2017-03-19T21:56:50Z</dcterms:created>
  <dcterms:modified xsi:type="dcterms:W3CDTF">2025-12-30T21:06:21Z</dcterms:modified>
</cp:coreProperties>
</file>