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J:\Group\PAYROLL\WS\Commissions\2025\Q4\December 2025\Satellites\"/>
    </mc:Choice>
  </mc:AlternateContent>
  <xr:revisionPtr revIDLastSave="0" documentId="8_{1F67EB14-F7DF-405C-A484-6A6F70BD0B2A}" xr6:coauthVersionLast="47" xr6:coauthVersionMax="47" xr10:uidLastSave="{00000000-0000-0000-0000-000000000000}"/>
  <bookViews>
    <workbookView xWindow="-120" yWindow="-120" windowWidth="29040" windowHeight="15720" xr2:uid="{663C1BB9-FCB5-4739-AE83-8BB5C3929034}"/>
  </bookViews>
  <sheets>
    <sheet name="Denver" sheetId="1" r:id="rId1"/>
  </sheets>
  <externalReferences>
    <externalReference r:id="rId2"/>
  </externalReferences>
  <definedNames>
    <definedName name="_xlnm._FilterDatabase" localSheetId="0" hidden="1">Denver!$A$3:$H$51</definedName>
    <definedName name="_xlnm.Print_Area" localSheetId="0">Denver!$A$4:$G$54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9" i="1" l="1"/>
  <c r="D43" i="1"/>
  <c r="C43" i="1"/>
  <c r="E43" i="1" s="1"/>
  <c r="F40" i="1"/>
  <c r="F49" i="1" s="1"/>
  <c r="D40" i="1"/>
  <c r="C40" i="1"/>
  <c r="G40" i="1" s="1"/>
  <c r="E35" i="1"/>
  <c r="D35" i="1"/>
  <c r="C35" i="1"/>
  <c r="D28" i="1"/>
  <c r="D22" i="1"/>
  <c r="C22" i="1"/>
  <c r="E22" i="1" s="1"/>
  <c r="F19" i="1"/>
  <c r="F28" i="1" s="1"/>
  <c r="D19" i="1"/>
  <c r="D14" i="1"/>
  <c r="C14" i="1"/>
  <c r="E14" i="1" s="1"/>
  <c r="G9" i="1"/>
  <c r="C7" i="1"/>
  <c r="C19" i="1" s="1"/>
  <c r="G19" i="1" s="1"/>
  <c r="A7" i="1"/>
  <c r="A5" i="1"/>
  <c r="A4" i="1"/>
  <c r="B1" i="1"/>
  <c r="C28" i="1" l="1"/>
  <c r="G28" i="1" s="1"/>
  <c r="G30" i="1" s="1"/>
  <c r="C9" i="1"/>
  <c r="C10" i="1"/>
  <c r="C49" i="1"/>
  <c r="G49" i="1" s="1"/>
  <c r="G51" i="1" s="1"/>
</calcChain>
</file>

<file path=xl/sharedStrings.xml><?xml version="1.0" encoding="utf-8"?>
<sst xmlns="http://schemas.openxmlformats.org/spreadsheetml/2006/main" count="68" uniqueCount="40">
  <si>
    <t>number of monthly payrolls</t>
  </si>
  <si>
    <t>quarterly</t>
  </si>
  <si>
    <t>Balance of Overpayment</t>
  </si>
  <si>
    <t>Current</t>
  </si>
  <si>
    <t>Start Bal Owed</t>
  </si>
  <si>
    <t>Base Salary</t>
  </si>
  <si>
    <t>w geo</t>
  </si>
  <si>
    <t>Q2 Pmt</t>
  </si>
  <si>
    <t>Q3 Pmt</t>
  </si>
  <si>
    <t xml:space="preserve">Total Quarterly Potential: </t>
  </si>
  <si>
    <t xml:space="preserve">Total Annual Potential: </t>
  </si>
  <si>
    <t xml:space="preserve">Quarter </t>
  </si>
  <si>
    <t>Quarter</t>
  </si>
  <si>
    <t>Actual NP</t>
  </si>
  <si>
    <t>Budget NP</t>
  </si>
  <si>
    <t>GP %</t>
  </si>
  <si>
    <t>Denver Total</t>
  </si>
  <si>
    <t>Home</t>
  </si>
  <si>
    <t>Quarterly</t>
  </si>
  <si>
    <t>Commission</t>
  </si>
  <si>
    <t>Quarterly Commission</t>
  </si>
  <si>
    <t>Payable</t>
  </si>
  <si>
    <t>90 - 100%</t>
  </si>
  <si>
    <t xml:space="preserve">       / 12         x</t>
  </si>
  <si>
    <t>Satellites Total</t>
  </si>
  <si>
    <t>Q</t>
  </si>
  <si>
    <t>Group</t>
  </si>
  <si>
    <t>Total Commission Payment</t>
  </si>
  <si>
    <t>YTD</t>
  </si>
  <si>
    <t>Annual</t>
  </si>
  <si>
    <t>Actual GP</t>
  </si>
  <si>
    <t>Budget GP</t>
  </si>
  <si>
    <t>YTD GP %</t>
  </si>
  <si>
    <t>Annual Commission</t>
  </si>
  <si>
    <t>100 - 105%</t>
  </si>
  <si>
    <t>A</t>
  </si>
  <si>
    <t>Note:</t>
  </si>
  <si>
    <t>Annual commission is paid at year end,  if total satellite net profit results are at or above 90%.</t>
  </si>
  <si>
    <t>Annual commission amounts will be calculated and shown with Q4 reports.</t>
  </si>
  <si>
    <t>Quarterly Commissions are capped at 100% GP.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</si>
</sst>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3" fontId="1" fillId="0" borderId="0" xfId="0" applyNumberFormat="1" applyFont="1"/>
    <xf numFmtId="3" fontId="1" fillId="0" borderId="0" xfId="0" applyNumberFormat="1" applyFont="1" applyAlignment="1">
      <alignment horizontal="center"/>
    </xf>
    <xf numFmtId="3" fontId="2" fillId="0" borderId="0" xfId="0" applyNumberFormat="1" applyFont="1"/>
    <xf numFmtId="44" fontId="3" fillId="0" borderId="1" xfId="3" applyFont="1" applyBorder="1"/>
    <xf numFmtId="0" fontId="1" fillId="0" borderId="2" xfId="0" applyFont="1" applyBorder="1"/>
    <xf numFmtId="44" fontId="3" fillId="0" borderId="3" xfId="3" applyFont="1" applyBorder="1"/>
    <xf numFmtId="0" fontId="1" fillId="0" borderId="4" xfId="0" applyFont="1" applyBorder="1"/>
    <xf numFmtId="0" fontId="4" fillId="0" borderId="0" xfId="0" applyFont="1"/>
    <xf numFmtId="44" fontId="3" fillId="0" borderId="3" xfId="3" applyFont="1" applyBorder="1" applyAlignment="1">
      <alignment horizontal="center"/>
    </xf>
    <xf numFmtId="44" fontId="1" fillId="0" borderId="4" xfId="0" applyNumberFormat="1" applyFont="1" applyBorder="1"/>
    <xf numFmtId="0" fontId="2" fillId="0" borderId="0" xfId="0" applyFont="1"/>
    <xf numFmtId="44" fontId="1" fillId="0" borderId="0" xfId="3" applyFont="1"/>
    <xf numFmtId="0" fontId="3" fillId="0" borderId="0" xfId="0" applyFont="1"/>
    <xf numFmtId="0" fontId="3" fillId="0" borderId="3" xfId="0" applyFont="1" applyBorder="1" applyAlignment="1">
      <alignment horizontal="center"/>
    </xf>
    <xf numFmtId="44" fontId="1" fillId="0" borderId="4" xfId="3" applyFont="1" applyBorder="1"/>
    <xf numFmtId="0" fontId="1" fillId="0" borderId="5" xfId="0" applyFont="1" applyBorder="1"/>
    <xf numFmtId="44" fontId="1" fillId="0" borderId="6" xfId="0" applyNumberFormat="1" applyFont="1" applyBorder="1"/>
    <xf numFmtId="44" fontId="3" fillId="0" borderId="0" xfId="3" applyFont="1"/>
    <xf numFmtId="0" fontId="2" fillId="0" borderId="1" xfId="0" applyFont="1" applyBorder="1"/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2" fillId="0" borderId="2" xfId="0" applyFont="1" applyBorder="1"/>
    <xf numFmtId="3" fontId="2" fillId="0" borderId="8" xfId="0" applyNumberFormat="1" applyFont="1" applyBorder="1" applyAlignment="1">
      <alignment horizontal="center"/>
    </xf>
    <xf numFmtId="9" fontId="2" fillId="0" borderId="9" xfId="2" applyFont="1" applyBorder="1" applyAlignment="1">
      <alignment horizontal="center"/>
    </xf>
    <xf numFmtId="3" fontId="2" fillId="0" borderId="9" xfId="0" applyNumberFormat="1" applyFont="1" applyBorder="1" applyAlignment="1">
      <alignment horizontal="right"/>
    </xf>
    <xf numFmtId="3" fontId="2" fillId="0" borderId="9" xfId="0" applyNumberFormat="1" applyFont="1" applyBorder="1" applyAlignment="1">
      <alignment horizontal="center"/>
    </xf>
    <xf numFmtId="0" fontId="2" fillId="0" borderId="4" xfId="0" applyFont="1" applyBorder="1"/>
    <xf numFmtId="3" fontId="2" fillId="0" borderId="3" xfId="0" applyNumberFormat="1" applyFont="1" applyBorder="1"/>
    <xf numFmtId="3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center"/>
    </xf>
    <xf numFmtId="3" fontId="2" fillId="2" borderId="10" xfId="0" applyNumberFormat="1" applyFont="1" applyFill="1" applyBorder="1"/>
    <xf numFmtId="3" fontId="2" fillId="2" borderId="11" xfId="0" applyNumberFormat="1" applyFont="1" applyFill="1" applyBorder="1"/>
    <xf numFmtId="10" fontId="2" fillId="2" borderId="11" xfId="0" applyNumberFormat="1" applyFont="1" applyFill="1" applyBorder="1"/>
    <xf numFmtId="10" fontId="2" fillId="0" borderId="0" xfId="0" applyNumberFormat="1" applyFont="1"/>
    <xf numFmtId="0" fontId="2" fillId="0" borderId="0" xfId="0" applyFont="1" applyAlignment="1">
      <alignment horizontal="center"/>
    </xf>
    <xf numFmtId="3" fontId="2" fillId="0" borderId="4" xfId="0" applyNumberFormat="1" applyFont="1" applyBorder="1" applyAlignment="1">
      <alignment horizontal="center"/>
    </xf>
    <xf numFmtId="3" fontId="2" fillId="0" borderId="8" xfId="0" applyNumberFormat="1" applyFont="1" applyBorder="1"/>
    <xf numFmtId="0" fontId="2" fillId="0" borderId="9" xfId="0" applyFont="1" applyBorder="1" applyAlignment="1">
      <alignment horizontal="center"/>
    </xf>
    <xf numFmtId="9" fontId="2" fillId="0" borderId="9" xfId="0" applyNumberFormat="1" applyFont="1" applyBorder="1" applyAlignment="1">
      <alignment horizontal="center"/>
    </xf>
    <xf numFmtId="9" fontId="2" fillId="0" borderId="0" xfId="0" applyNumberFormat="1" applyFont="1" applyAlignment="1">
      <alignment horizontal="center"/>
    </xf>
    <xf numFmtId="44" fontId="2" fillId="0" borderId="0" xfId="3" applyFont="1" applyBorder="1" applyAlignment="1">
      <alignment horizontal="center"/>
    </xf>
    <xf numFmtId="10" fontId="2" fillId="2" borderId="0" xfId="2" applyNumberFormat="1" applyFont="1" applyFill="1" applyBorder="1" applyAlignment="1">
      <alignment horizontal="center"/>
    </xf>
    <xf numFmtId="1" fontId="2" fillId="0" borderId="0" xfId="0" applyNumberFormat="1" applyFont="1" applyAlignment="1">
      <alignment horizontal="center"/>
    </xf>
    <xf numFmtId="44" fontId="2" fillId="0" borderId="4" xfId="3" applyFont="1" applyBorder="1" applyAlignment="1">
      <alignment horizontal="center"/>
    </xf>
    <xf numFmtId="43" fontId="2" fillId="0" borderId="4" xfId="1" applyFont="1" applyFill="1" applyBorder="1"/>
    <xf numFmtId="9" fontId="2" fillId="0" borderId="0" xfId="2" quotePrefix="1" applyFont="1" applyFill="1" applyBorder="1" applyAlignment="1">
      <alignment horizontal="center"/>
    </xf>
    <xf numFmtId="3" fontId="2" fillId="3" borderId="10" xfId="0" applyNumberFormat="1" applyFont="1" applyFill="1" applyBorder="1"/>
    <xf numFmtId="0" fontId="2" fillId="3" borderId="11" xfId="0" applyFont="1" applyFill="1" applyBorder="1"/>
    <xf numFmtId="3" fontId="2" fillId="3" borderId="11" xfId="0" applyNumberFormat="1" applyFont="1" applyFill="1" applyBorder="1"/>
    <xf numFmtId="10" fontId="2" fillId="3" borderId="11" xfId="0" applyNumberFormat="1" applyFont="1" applyFill="1" applyBorder="1"/>
    <xf numFmtId="10" fontId="1" fillId="0" borderId="0" xfId="2" applyNumberFormat="1" applyFont="1" applyAlignment="1">
      <alignment horizontal="center"/>
    </xf>
    <xf numFmtId="0" fontId="2" fillId="0" borderId="3" xfId="0" applyFont="1" applyBorder="1"/>
    <xf numFmtId="164" fontId="2" fillId="0" borderId="0" xfId="1" applyNumberFormat="1" applyFont="1" applyFill="1" applyBorder="1" applyAlignment="1">
      <alignment horizontal="center"/>
    </xf>
    <xf numFmtId="3" fontId="2" fillId="0" borderId="3" xfId="0" quotePrefix="1" applyNumberFormat="1" applyFont="1" applyBorder="1"/>
    <xf numFmtId="10" fontId="2" fillId="0" borderId="0" xfId="0" applyNumberFormat="1" applyFont="1" applyAlignment="1">
      <alignment horizontal="center"/>
    </xf>
    <xf numFmtId="3" fontId="2" fillId="0" borderId="0" xfId="0" quotePrefix="1" applyNumberFormat="1" applyFont="1" applyAlignment="1">
      <alignment horizontal="center"/>
    </xf>
    <xf numFmtId="4" fontId="2" fillId="0" borderId="4" xfId="0" applyNumberFormat="1" applyFont="1" applyBorder="1" applyAlignment="1">
      <alignment horizontal="center"/>
    </xf>
    <xf numFmtId="3" fontId="2" fillId="0" borderId="9" xfId="0" applyNumberFormat="1" applyFont="1" applyBorder="1"/>
    <xf numFmtId="10" fontId="2" fillId="3" borderId="0" xfId="2" applyNumberFormat="1" applyFont="1" applyFill="1" applyBorder="1" applyAlignment="1">
      <alignment horizontal="center"/>
    </xf>
    <xf numFmtId="4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right"/>
    </xf>
    <xf numFmtId="43" fontId="2" fillId="0" borderId="4" xfId="1" applyFont="1" applyBorder="1"/>
    <xf numFmtId="3" fontId="2" fillId="0" borderId="5" xfId="0" quotePrefix="1" applyNumberFormat="1" applyFont="1" applyBorder="1"/>
    <xf numFmtId="3" fontId="2" fillId="0" borderId="12" xfId="0" applyNumberFormat="1" applyFont="1" applyBorder="1"/>
    <xf numFmtId="4" fontId="2" fillId="0" borderId="12" xfId="0" applyNumberFormat="1" applyFont="1" applyBorder="1" applyAlignment="1">
      <alignment horizontal="center"/>
    </xf>
    <xf numFmtId="3" fontId="2" fillId="0" borderId="13" xfId="0" applyNumberFormat="1" applyFont="1" applyBorder="1" applyAlignment="1">
      <alignment horizontal="center"/>
    </xf>
    <xf numFmtId="3" fontId="2" fillId="0" borderId="14" xfId="0" applyNumberFormat="1" applyFont="1" applyBorder="1" applyAlignment="1">
      <alignment horizontal="center"/>
    </xf>
    <xf numFmtId="44" fontId="2" fillId="0" borderId="15" xfId="3" applyFont="1" applyBorder="1"/>
    <xf numFmtId="3" fontId="1" fillId="0" borderId="0" xfId="0" quotePrefix="1" applyNumberFormat="1" applyFont="1"/>
    <xf numFmtId="4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right"/>
    </xf>
    <xf numFmtId="43" fontId="1" fillId="0" borderId="0" xfId="1" applyFont="1"/>
    <xf numFmtId="10" fontId="1" fillId="0" borderId="0" xfId="0" applyNumberFormat="1" applyFont="1"/>
    <xf numFmtId="3" fontId="2" fillId="0" borderId="1" xfId="0" quotePrefix="1" applyNumberFormat="1" applyFont="1" applyBorder="1"/>
    <xf numFmtId="3" fontId="2" fillId="0" borderId="7" xfId="0" applyNumberFormat="1" applyFont="1" applyBorder="1"/>
    <xf numFmtId="3" fontId="2" fillId="0" borderId="7" xfId="0" applyNumberFormat="1" applyFont="1" applyBorder="1" applyAlignment="1">
      <alignment horizontal="center"/>
    </xf>
    <xf numFmtId="10" fontId="2" fillId="0" borderId="7" xfId="0" applyNumberFormat="1" applyFont="1" applyBorder="1" applyAlignment="1">
      <alignment horizontal="right"/>
    </xf>
    <xf numFmtId="43" fontId="2" fillId="0" borderId="2" xfId="1" applyFont="1" applyBorder="1"/>
    <xf numFmtId="10" fontId="2" fillId="0" borderId="9" xfId="0" applyNumberFormat="1" applyFont="1" applyBorder="1" applyAlignment="1">
      <alignment horizontal="center"/>
    </xf>
    <xf numFmtId="3" fontId="2" fillId="4" borderId="10" xfId="0" applyNumberFormat="1" applyFont="1" applyFill="1" applyBorder="1"/>
    <xf numFmtId="3" fontId="2" fillId="4" borderId="11" xfId="0" applyNumberFormat="1" applyFont="1" applyFill="1" applyBorder="1"/>
    <xf numFmtId="10" fontId="2" fillId="4" borderId="11" xfId="0" applyNumberFormat="1" applyFont="1" applyFill="1" applyBorder="1"/>
    <xf numFmtId="9" fontId="2" fillId="0" borderId="0" xfId="2" quotePrefix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0" fontId="2" fillId="0" borderId="8" xfId="0" applyNumberFormat="1" applyFont="1" applyBorder="1"/>
    <xf numFmtId="1" fontId="2" fillId="0" borderId="9" xfId="1" applyNumberFormat="1" applyFont="1" applyBorder="1" applyAlignment="1">
      <alignment horizontal="center"/>
    </xf>
    <xf numFmtId="10" fontId="2" fillId="0" borderId="4" xfId="0" applyNumberFormat="1" applyFont="1" applyBorder="1" applyAlignment="1">
      <alignment horizontal="center"/>
    </xf>
    <xf numFmtId="10" fontId="2" fillId="0" borderId="3" xfId="0" applyNumberFormat="1" applyFont="1" applyBorder="1"/>
    <xf numFmtId="164" fontId="2" fillId="0" borderId="0" xfId="1" applyNumberFormat="1" applyFont="1" applyBorder="1" applyAlignment="1">
      <alignment horizontal="center"/>
    </xf>
    <xf numFmtId="10" fontId="2" fillId="0" borderId="4" xfId="0" applyNumberFormat="1" applyFont="1" applyBorder="1" applyAlignment="1">
      <alignment horizontal="right"/>
    </xf>
    <xf numFmtId="10" fontId="2" fillId="4" borderId="0" xfId="0" applyNumberFormat="1" applyFont="1" applyFill="1" applyAlignment="1">
      <alignment horizontal="center"/>
    </xf>
    <xf numFmtId="10" fontId="1" fillId="0" borderId="0" xfId="0" applyNumberFormat="1" applyFont="1" applyAlignment="1">
      <alignment horizontal="center"/>
    </xf>
    <xf numFmtId="3" fontId="2" fillId="5" borderId="10" xfId="0" applyNumberFormat="1" applyFont="1" applyFill="1" applyBorder="1"/>
    <xf numFmtId="3" fontId="2" fillId="5" borderId="11" xfId="0" applyNumberFormat="1" applyFont="1" applyFill="1" applyBorder="1"/>
    <xf numFmtId="10" fontId="2" fillId="5" borderId="11" xfId="0" applyNumberFormat="1" applyFont="1" applyFill="1" applyBorder="1"/>
    <xf numFmtId="0" fontId="2" fillId="0" borderId="8" xfId="0" applyFont="1" applyBorder="1"/>
    <xf numFmtId="0" fontId="2" fillId="0" borderId="9" xfId="0" applyFont="1" applyBorder="1"/>
    <xf numFmtId="10" fontId="2" fillId="5" borderId="0" xfId="0" applyNumberFormat="1" applyFont="1" applyFill="1" applyAlignment="1">
      <alignment horizontal="center"/>
    </xf>
    <xf numFmtId="0" fontId="2" fillId="0" borderId="5" xfId="0" applyFont="1" applyBorder="1"/>
    <xf numFmtId="3" fontId="2" fillId="0" borderId="12" xfId="0" applyNumberFormat="1" applyFont="1" applyBorder="1" applyAlignment="1">
      <alignment horizontal="center"/>
    </xf>
    <xf numFmtId="10" fontId="2" fillId="0" borderId="12" xfId="0" applyNumberFormat="1" applyFont="1" applyBorder="1" applyAlignment="1">
      <alignment horizontal="center"/>
    </xf>
    <xf numFmtId="43" fontId="2" fillId="0" borderId="15" xfId="1" applyFont="1" applyBorder="1"/>
    <xf numFmtId="3" fontId="1" fillId="0" borderId="0" xfId="0" quotePrefix="1" applyNumberFormat="1" applyFont="1" applyAlignment="1">
      <alignment horizontal="center"/>
    </xf>
    <xf numFmtId="43" fontId="1" fillId="0" borderId="0" xfId="1" applyFont="1" applyBorder="1"/>
  </cellXfs>
  <cellStyles count="4">
    <cellStyle name="Comma" xfId="1" builtinId="3"/>
    <cellStyle name="Currency 2" xfId="3" xr:uid="{D8D0ADBE-23A0-497F-A82A-EC0761FAFF03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J:\Group\PAYROLL\WS\Commissions\2025\Q4\December%202025\Q4%20Nelson.xlsx" TargetMode="External"/><Relationship Id="rId1" Type="http://schemas.openxmlformats.org/officeDocument/2006/relationships/externalLinkPath" Target="/Group/PAYROLL/WS/Commissions/2025/Q4/December%202025/Q4%20Nels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et income % 2025"/>
      <sheetName val="Houston"/>
      <sheetName val="Oxford"/>
      <sheetName val="Van Nuys"/>
      <sheetName val="Ft Lauderdale"/>
      <sheetName val="St Paul"/>
      <sheetName val="Portland"/>
      <sheetName val="Seattle"/>
      <sheetName val="Sacramento"/>
      <sheetName val="Denver"/>
      <sheetName val="Scottsdale "/>
      <sheetName val="Austin"/>
      <sheetName val="Las Vegas"/>
      <sheetName val="Dallas"/>
      <sheetName val="Atlanta"/>
      <sheetName val="Teterboro"/>
      <sheetName val="Kansas City"/>
      <sheetName val="St Louis"/>
      <sheetName val="Manassas"/>
      <sheetName val="Nashville"/>
      <sheetName val="Nelson"/>
      <sheetName val="Zitek"/>
      <sheetName val="Mazzani"/>
      <sheetName val="Carlson"/>
      <sheetName val="Winter"/>
      <sheetName val="Kruse"/>
      <sheetName val="Marte Bedford DO"/>
      <sheetName val="Marte Long Island DO"/>
      <sheetName val="Satellite summary"/>
      <sheetName val="payout"/>
      <sheetName val="Sheet1"/>
    </sheetNames>
    <sheetDataSet>
      <sheetData sheetId="0">
        <row r="18">
          <cell r="EE18">
            <v>1014060</v>
          </cell>
          <cell r="EF18">
            <v>997087</v>
          </cell>
          <cell r="EH18">
            <v>162191</v>
          </cell>
          <cell r="EI18">
            <v>239155</v>
          </cell>
        </row>
        <row r="30">
          <cell r="EE30">
            <v>15340166</v>
          </cell>
          <cell r="EF30">
            <v>12258071</v>
          </cell>
          <cell r="EH30">
            <v>4272547</v>
          </cell>
          <cell r="EI30">
            <v>2928544</v>
          </cell>
        </row>
      </sheetData>
      <sheetData sheetId="1">
        <row r="1">
          <cell r="B1">
            <v>12</v>
          </cell>
        </row>
        <row r="4">
          <cell r="A4" t="str">
            <v>To:  Matt Nelson</v>
          </cell>
        </row>
        <row r="5">
          <cell r="A5" t="str">
            <v>Subject: Q4 2025 Commissions</v>
          </cell>
        </row>
        <row r="28">
          <cell r="D28">
            <v>1</v>
          </cell>
        </row>
        <row r="49">
          <cell r="D49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16">
          <cell r="D16" t="str">
            <v>Edduyn Pita</v>
          </cell>
          <cell r="I16">
            <v>206376</v>
          </cell>
        </row>
      </sheetData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temp_ASAPUtilities_colorschem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B76BD-FEB3-4E36-9EC9-096EB623196B}">
  <sheetPr>
    <pageSetUpPr fitToPage="1"/>
  </sheetPr>
  <dimension ref="A1:I56"/>
  <sheetViews>
    <sheetView tabSelected="1" zoomScale="80" zoomScaleNormal="80" workbookViewId="0"/>
  </sheetViews>
  <sheetFormatPr defaultColWidth="9.140625" defaultRowHeight="12.75" x14ac:dyDescent="0.2"/>
  <cols>
    <col min="1" max="1" width="29.5703125" style="1" customWidth="1"/>
    <col min="2" max="2" width="23.140625" style="1" bestFit="1" customWidth="1"/>
    <col min="3" max="3" width="13.42578125" style="1" bestFit="1" customWidth="1"/>
    <col min="4" max="4" width="11.42578125" style="2" bestFit="1" customWidth="1"/>
    <col min="5" max="5" width="14.5703125" style="1" bestFit="1" customWidth="1"/>
    <col min="6" max="6" width="14.85546875" style="1" customWidth="1"/>
    <col min="7" max="7" width="13.85546875" style="1" bestFit="1" customWidth="1"/>
    <col min="8" max="8" width="24.140625" style="2" bestFit="1" customWidth="1"/>
    <col min="9" max="9" width="8.28515625" style="1" customWidth="1"/>
    <col min="10" max="16384" width="9.140625" style="1"/>
  </cols>
  <sheetData>
    <row r="1" spans="1:9" x14ac:dyDescent="0.2">
      <c r="A1" s="1" t="s">
        <v>0</v>
      </c>
      <c r="B1" s="1">
        <f>[1]Houston!B1</f>
        <v>12</v>
      </c>
      <c r="C1" s="1">
        <v>3</v>
      </c>
      <c r="D1" s="2" t="s">
        <v>1</v>
      </c>
    </row>
    <row r="3" spans="1:9" ht="13.5" thickBot="1" x14ac:dyDescent="0.25">
      <c r="A3" s="3"/>
      <c r="B3" s="3"/>
      <c r="C3" s="3"/>
      <c r="D3" s="4"/>
      <c r="E3" s="3"/>
      <c r="F3" s="3"/>
      <c r="G3" s="3"/>
    </row>
    <row r="4" spans="1:9" x14ac:dyDescent="0.2">
      <c r="A4" s="5" t="str">
        <f>+[1]Houston!$A$4</f>
        <v>To:  Matt Nelson</v>
      </c>
      <c r="B4" s="3"/>
      <c r="C4" s="3"/>
      <c r="D4" s="4"/>
      <c r="E4" s="3"/>
      <c r="F4" s="6" t="s">
        <v>2</v>
      </c>
      <c r="G4" s="7"/>
    </row>
    <row r="5" spans="1:9" x14ac:dyDescent="0.2">
      <c r="A5" s="5" t="str">
        <f>+[1]Houston!$A$5</f>
        <v>Subject: Q4 2025 Commissions</v>
      </c>
      <c r="B5" s="3"/>
      <c r="C5" s="3"/>
      <c r="D5" s="4"/>
      <c r="E5" s="3"/>
      <c r="F5" s="8"/>
      <c r="G5" s="9" t="s">
        <v>3</v>
      </c>
      <c r="I5" s="10"/>
    </row>
    <row r="6" spans="1:9" x14ac:dyDescent="0.2">
      <c r="A6" s="3"/>
      <c r="B6" s="3"/>
      <c r="C6" s="3"/>
      <c r="D6" s="4"/>
      <c r="E6" s="3"/>
      <c r="F6" s="11" t="s">
        <v>4</v>
      </c>
      <c r="G6" s="12">
        <v>5417.37</v>
      </c>
      <c r="I6" s="10"/>
    </row>
    <row r="7" spans="1:9" x14ac:dyDescent="0.2">
      <c r="A7" s="13" t="str">
        <f>+'[1]Satellite summary'!D16</f>
        <v>Edduyn Pita</v>
      </c>
      <c r="B7" s="1" t="s">
        <v>5</v>
      </c>
      <c r="C7" s="14">
        <f>+'[1]Satellite summary'!I16</f>
        <v>206376</v>
      </c>
      <c r="D7" s="2" t="s">
        <v>6</v>
      </c>
      <c r="E7" s="15"/>
      <c r="F7" s="16" t="s">
        <v>7</v>
      </c>
      <c r="G7" s="12">
        <v>2321.73</v>
      </c>
    </row>
    <row r="8" spans="1:9" x14ac:dyDescent="0.2">
      <c r="A8" s="13"/>
      <c r="C8" s="14"/>
      <c r="E8" s="15"/>
      <c r="F8" s="11" t="s">
        <v>8</v>
      </c>
      <c r="G8" s="17">
        <v>3095.64</v>
      </c>
    </row>
    <row r="9" spans="1:9" ht="13.5" thickBot="1" x14ac:dyDescent="0.25">
      <c r="A9" s="13"/>
      <c r="B9" s="1" t="s">
        <v>9</v>
      </c>
      <c r="C9" s="14">
        <f>(C7*B12)/4</f>
        <v>7739.0999999999995</v>
      </c>
      <c r="E9" s="15"/>
      <c r="F9" s="18"/>
      <c r="G9" s="19">
        <f>+G6-G7-G8</f>
        <v>0</v>
      </c>
    </row>
    <row r="10" spans="1:9" ht="13.5" thickBot="1" x14ac:dyDescent="0.25">
      <c r="A10" s="13"/>
      <c r="B10" s="1" t="s">
        <v>10</v>
      </c>
      <c r="C10" s="14">
        <f>C7*B33</f>
        <v>20637.600000000002</v>
      </c>
      <c r="E10" s="15"/>
      <c r="F10" s="20"/>
    </row>
    <row r="11" spans="1:9" x14ac:dyDescent="0.2">
      <c r="A11" s="21"/>
      <c r="B11" s="22"/>
      <c r="C11" s="23" t="s">
        <v>11</v>
      </c>
      <c r="D11" s="23" t="s">
        <v>12</v>
      </c>
      <c r="E11" s="23" t="s">
        <v>12</v>
      </c>
      <c r="F11" s="22"/>
      <c r="G11" s="24"/>
    </row>
    <row r="12" spans="1:9" x14ac:dyDescent="0.2">
      <c r="A12" s="25" t="s">
        <v>12</v>
      </c>
      <c r="B12" s="26">
        <v>0.15</v>
      </c>
      <c r="C12" s="27" t="s">
        <v>13</v>
      </c>
      <c r="D12" s="28" t="s">
        <v>14</v>
      </c>
      <c r="E12" s="28" t="s">
        <v>15</v>
      </c>
      <c r="F12" s="13"/>
      <c r="G12" s="29"/>
    </row>
    <row r="13" spans="1:9" x14ac:dyDescent="0.2">
      <c r="A13" s="30"/>
      <c r="B13" s="5"/>
      <c r="C13" s="31"/>
      <c r="D13" s="32"/>
      <c r="E13" s="31"/>
      <c r="F13" s="13"/>
      <c r="G13" s="29"/>
    </row>
    <row r="14" spans="1:9" x14ac:dyDescent="0.2">
      <c r="A14" s="33" t="s">
        <v>16</v>
      </c>
      <c r="B14" s="34"/>
      <c r="C14" s="34">
        <f>+'[1]net income % 2025'!EH18</f>
        <v>162191</v>
      </c>
      <c r="D14" s="34">
        <f>+'[1]net income % 2025'!EI18</f>
        <v>239155</v>
      </c>
      <c r="E14" s="35">
        <f>+C14/D14</f>
        <v>0.67818360477514583</v>
      </c>
      <c r="F14" s="13"/>
      <c r="G14" s="29"/>
    </row>
    <row r="15" spans="1:9" x14ac:dyDescent="0.2">
      <c r="A15" s="30"/>
      <c r="B15" s="5"/>
      <c r="C15" s="5"/>
      <c r="D15" s="5"/>
      <c r="E15" s="36"/>
      <c r="F15" s="13"/>
      <c r="G15" s="29"/>
    </row>
    <row r="16" spans="1:9" x14ac:dyDescent="0.2">
      <c r="A16" s="30"/>
      <c r="B16" s="5"/>
      <c r="C16" s="32" t="s">
        <v>17</v>
      </c>
      <c r="D16" s="37" t="s">
        <v>18</v>
      </c>
      <c r="E16" s="36"/>
      <c r="F16" s="37"/>
      <c r="G16" s="38" t="s">
        <v>19</v>
      </c>
    </row>
    <row r="17" spans="1:8" x14ac:dyDescent="0.2">
      <c r="A17" s="39" t="s">
        <v>20</v>
      </c>
      <c r="B17" s="40"/>
      <c r="C17" s="41">
        <v>0.7</v>
      </c>
      <c r="D17" s="40" t="s">
        <v>15</v>
      </c>
      <c r="E17" s="37"/>
      <c r="F17" s="37"/>
      <c r="G17" s="38" t="s">
        <v>21</v>
      </c>
    </row>
    <row r="18" spans="1:8" x14ac:dyDescent="0.2">
      <c r="A18" s="30"/>
      <c r="B18" s="37"/>
      <c r="C18" s="42"/>
      <c r="D18" s="37"/>
      <c r="E18" s="37"/>
      <c r="F18" s="37"/>
      <c r="G18" s="38"/>
    </row>
    <row r="19" spans="1:8" x14ac:dyDescent="0.2">
      <c r="A19" s="30" t="s">
        <v>22</v>
      </c>
      <c r="B19" s="5"/>
      <c r="C19" s="43">
        <f>ROUND(C7*B12*C17,2)</f>
        <v>21669.48</v>
      </c>
      <c r="D19" s="44">
        <f>+(90-90)/10</f>
        <v>0</v>
      </c>
      <c r="E19" s="37" t="s">
        <v>23</v>
      </c>
      <c r="F19" s="45">
        <f>+$C$1</f>
        <v>3</v>
      </c>
      <c r="G19" s="46">
        <f>(C19*D19)/12*F19</f>
        <v>0</v>
      </c>
    </row>
    <row r="20" spans="1:8" x14ac:dyDescent="0.2">
      <c r="A20" s="30"/>
      <c r="B20" s="5"/>
      <c r="C20" s="5"/>
      <c r="D20" s="37"/>
      <c r="E20" s="5"/>
      <c r="F20" s="37"/>
      <c r="G20" s="47"/>
    </row>
    <row r="21" spans="1:8" x14ac:dyDescent="0.2">
      <c r="A21" s="30"/>
      <c r="B21" s="48"/>
      <c r="C21" s="13"/>
      <c r="D21" s="37"/>
      <c r="E21" s="13"/>
      <c r="F21" s="37"/>
      <c r="G21" s="29"/>
    </row>
    <row r="22" spans="1:8" x14ac:dyDescent="0.2">
      <c r="A22" s="49" t="s">
        <v>24</v>
      </c>
      <c r="B22" s="50"/>
      <c r="C22" s="51">
        <f>+'[1]net income % 2025'!$EH$30</f>
        <v>4272547</v>
      </c>
      <c r="D22" s="51">
        <f>+'[1]net income % 2025'!$EI$30</f>
        <v>2928544</v>
      </c>
      <c r="E22" s="52">
        <f>C22/D22</f>
        <v>1.458932151949911</v>
      </c>
      <c r="F22" s="37"/>
      <c r="G22" s="29"/>
      <c r="H22" s="53"/>
    </row>
    <row r="23" spans="1:8" x14ac:dyDescent="0.2">
      <c r="A23" s="54"/>
      <c r="B23" s="55"/>
      <c r="C23" s="13"/>
      <c r="D23" s="37"/>
      <c r="E23" s="13"/>
      <c r="F23" s="13"/>
      <c r="G23" s="29"/>
      <c r="H23" s="53" t="s">
        <v>25</v>
      </c>
    </row>
    <row r="24" spans="1:8" x14ac:dyDescent="0.2">
      <c r="A24" s="56"/>
      <c r="B24" s="5"/>
      <c r="C24" s="32"/>
      <c r="D24" s="57"/>
      <c r="E24" s="58"/>
      <c r="F24" s="13"/>
      <c r="G24" s="59"/>
      <c r="H24" s="53"/>
    </row>
    <row r="25" spans="1:8" x14ac:dyDescent="0.2">
      <c r="A25" s="56"/>
      <c r="B25" s="5"/>
      <c r="C25" s="32" t="s">
        <v>26</v>
      </c>
      <c r="D25" s="32" t="s">
        <v>12</v>
      </c>
      <c r="E25" s="32"/>
      <c r="F25" s="13"/>
      <c r="G25" s="38" t="s">
        <v>19</v>
      </c>
      <c r="H25" s="53"/>
    </row>
    <row r="26" spans="1:8" x14ac:dyDescent="0.2">
      <c r="A26" s="39" t="s">
        <v>20</v>
      </c>
      <c r="B26" s="60"/>
      <c r="C26" s="41">
        <v>0.3</v>
      </c>
      <c r="D26" s="40" t="s">
        <v>15</v>
      </c>
      <c r="E26" s="13"/>
      <c r="F26" s="13"/>
      <c r="G26" s="38" t="s">
        <v>21</v>
      </c>
      <c r="H26" s="53"/>
    </row>
    <row r="27" spans="1:8" x14ac:dyDescent="0.2">
      <c r="A27" s="30"/>
      <c r="B27" s="5"/>
      <c r="C27" s="42"/>
      <c r="D27" s="37"/>
      <c r="E27" s="13"/>
      <c r="F27" s="13"/>
      <c r="G27" s="38"/>
      <c r="H27" s="53"/>
    </row>
    <row r="28" spans="1:8" x14ac:dyDescent="0.2">
      <c r="A28" s="56" t="s">
        <v>22</v>
      </c>
      <c r="B28" s="5"/>
      <c r="C28" s="43">
        <f>+ROUND(C7*B12*C26,2)</f>
        <v>9286.92</v>
      </c>
      <c r="D28" s="61">
        <f>+[1]Houston!$D$28</f>
        <v>1</v>
      </c>
      <c r="E28" s="37" t="s">
        <v>23</v>
      </c>
      <c r="F28" s="45">
        <f>F19</f>
        <v>3</v>
      </c>
      <c r="G28" s="46">
        <f>(C28*D28)/12*F28</f>
        <v>2321.73</v>
      </c>
      <c r="H28" s="53"/>
    </row>
    <row r="29" spans="1:8" ht="13.5" thickBot="1" x14ac:dyDescent="0.25">
      <c r="A29" s="56"/>
      <c r="B29" s="5"/>
      <c r="C29" s="5"/>
      <c r="D29" s="62"/>
      <c r="E29" s="32"/>
      <c r="F29" s="63"/>
      <c r="G29" s="64"/>
    </row>
    <row r="30" spans="1:8" ht="13.5" thickBot="1" x14ac:dyDescent="0.25">
      <c r="A30" s="65"/>
      <c r="B30" s="66"/>
      <c r="C30" s="66"/>
      <c r="D30" s="67"/>
      <c r="E30" s="68" t="s">
        <v>27</v>
      </c>
      <c r="F30" s="69"/>
      <c r="G30" s="70">
        <f>G19+G28</f>
        <v>2321.73</v>
      </c>
    </row>
    <row r="31" spans="1:8" s="75" customFormat="1" ht="13.5" thickBot="1" x14ac:dyDescent="0.25">
      <c r="A31" s="71"/>
      <c r="B31" s="3"/>
      <c r="C31" s="3"/>
      <c r="D31" s="72"/>
      <c r="E31" s="4"/>
      <c r="F31" s="73"/>
      <c r="G31" s="74"/>
      <c r="H31" s="2"/>
    </row>
    <row r="32" spans="1:8" s="75" customFormat="1" x14ac:dyDescent="0.2">
      <c r="A32" s="76"/>
      <c r="B32" s="77"/>
      <c r="C32" s="78" t="s">
        <v>28</v>
      </c>
      <c r="D32" s="78" t="s">
        <v>28</v>
      </c>
      <c r="E32" s="78"/>
      <c r="F32" s="79"/>
      <c r="G32" s="80"/>
      <c r="H32" s="2"/>
    </row>
    <row r="33" spans="1:8" s="75" customFormat="1" x14ac:dyDescent="0.2">
      <c r="A33" s="25" t="s">
        <v>29</v>
      </c>
      <c r="B33" s="26">
        <v>0.1</v>
      </c>
      <c r="C33" s="27" t="s">
        <v>30</v>
      </c>
      <c r="D33" s="28" t="s">
        <v>31</v>
      </c>
      <c r="E33" s="81" t="s">
        <v>32</v>
      </c>
      <c r="F33" s="63"/>
      <c r="G33" s="64"/>
      <c r="H33" s="2"/>
    </row>
    <row r="34" spans="1:8" x14ac:dyDescent="0.2">
      <c r="A34" s="56"/>
      <c r="B34" s="5"/>
      <c r="C34" s="5"/>
      <c r="D34" s="32"/>
      <c r="E34" s="32"/>
      <c r="F34" s="63"/>
      <c r="G34" s="64"/>
    </row>
    <row r="35" spans="1:8" x14ac:dyDescent="0.2">
      <c r="A35" s="82" t="s">
        <v>16</v>
      </c>
      <c r="B35" s="83"/>
      <c r="C35" s="83">
        <f>+'[1]net income % 2025'!EE18</f>
        <v>1014060</v>
      </c>
      <c r="D35" s="83">
        <f>+'[1]net income % 2025'!EF18</f>
        <v>997087</v>
      </c>
      <c r="E35" s="84">
        <f>+C35/D35</f>
        <v>1.0170225867953349</v>
      </c>
      <c r="F35" s="13"/>
      <c r="G35" s="29"/>
    </row>
    <row r="36" spans="1:8" x14ac:dyDescent="0.2">
      <c r="A36" s="30"/>
      <c r="B36" s="5"/>
      <c r="C36" s="5"/>
      <c r="D36" s="32"/>
      <c r="E36" s="36"/>
      <c r="F36" s="13"/>
      <c r="G36" s="29"/>
    </row>
    <row r="37" spans="1:8" x14ac:dyDescent="0.2">
      <c r="A37" s="30"/>
      <c r="B37" s="85"/>
      <c r="C37" s="32" t="s">
        <v>17</v>
      </c>
      <c r="D37" s="32" t="s">
        <v>28</v>
      </c>
      <c r="E37" s="36"/>
      <c r="F37" s="13"/>
      <c r="G37" s="86" t="s">
        <v>19</v>
      </c>
    </row>
    <row r="38" spans="1:8" x14ac:dyDescent="0.2">
      <c r="A38" s="87" t="s">
        <v>33</v>
      </c>
      <c r="B38" s="88"/>
      <c r="C38" s="41">
        <v>0.7</v>
      </c>
      <c r="D38" s="81" t="s">
        <v>15</v>
      </c>
      <c r="E38" s="36"/>
      <c r="F38" s="13"/>
      <c r="G38" s="89" t="s">
        <v>28</v>
      </c>
      <c r="H38" s="4"/>
    </row>
    <row r="39" spans="1:8" x14ac:dyDescent="0.2">
      <c r="A39" s="90"/>
      <c r="B39" s="91"/>
      <c r="C39" s="57"/>
      <c r="D39" s="57"/>
      <c r="E39" s="36"/>
      <c r="F39" s="13"/>
      <c r="G39" s="92"/>
      <c r="H39" s="4"/>
    </row>
    <row r="40" spans="1:8" x14ac:dyDescent="0.2">
      <c r="A40" s="30" t="s">
        <v>34</v>
      </c>
      <c r="B40" s="5"/>
      <c r="C40" s="43">
        <f>+ROUND(C7*B33*C38,2)</f>
        <v>14446.32</v>
      </c>
      <c r="D40" s="93">
        <f>(101.7-100)/5</f>
        <v>0.34000000000000058</v>
      </c>
      <c r="E40" s="37" t="s">
        <v>23</v>
      </c>
      <c r="F40" s="37">
        <f>+B1</f>
        <v>12</v>
      </c>
      <c r="G40" s="46">
        <f>(C40*D40)/12*F40</f>
        <v>4911.7488000000085</v>
      </c>
      <c r="H40" s="4"/>
    </row>
    <row r="41" spans="1:8" x14ac:dyDescent="0.2">
      <c r="A41" s="30"/>
      <c r="B41" s="5"/>
      <c r="C41" s="32"/>
      <c r="D41" s="57"/>
      <c r="E41" s="58"/>
      <c r="F41" s="13"/>
      <c r="G41" s="86"/>
      <c r="H41" s="94" t="s">
        <v>35</v>
      </c>
    </row>
    <row r="42" spans="1:8" x14ac:dyDescent="0.2">
      <c r="A42" s="30"/>
      <c r="B42" s="5"/>
      <c r="C42" s="32"/>
      <c r="D42" s="57"/>
      <c r="E42" s="58"/>
      <c r="F42" s="13"/>
      <c r="G42" s="86"/>
      <c r="H42" s="94"/>
    </row>
    <row r="43" spans="1:8" x14ac:dyDescent="0.2">
      <c r="A43" s="95" t="s">
        <v>24</v>
      </c>
      <c r="B43" s="96"/>
      <c r="C43" s="96">
        <f>+'[1]net income % 2025'!$EE$30</f>
        <v>15340166</v>
      </c>
      <c r="D43" s="96">
        <f>+'[1]net income % 2025'!$EF$30</f>
        <v>12258071</v>
      </c>
      <c r="E43" s="97">
        <f>+C43/D43</f>
        <v>1.2514339327941566</v>
      </c>
      <c r="F43" s="13"/>
      <c r="G43" s="86"/>
      <c r="H43" s="53"/>
    </row>
    <row r="44" spans="1:8" x14ac:dyDescent="0.2">
      <c r="A44" s="30"/>
      <c r="B44" s="5"/>
      <c r="C44" s="5"/>
      <c r="D44" s="5"/>
      <c r="E44" s="36"/>
      <c r="F44" s="13"/>
      <c r="G44" s="86"/>
      <c r="H44" s="53"/>
    </row>
    <row r="45" spans="1:8" x14ac:dyDescent="0.2">
      <c r="A45" s="30"/>
      <c r="B45" s="5"/>
      <c r="C45" s="32"/>
      <c r="D45" s="57"/>
      <c r="E45" s="58"/>
      <c r="F45" s="13"/>
      <c r="G45" s="86"/>
      <c r="H45" s="53"/>
    </row>
    <row r="46" spans="1:8" x14ac:dyDescent="0.2">
      <c r="A46" s="30"/>
      <c r="B46" s="5"/>
      <c r="C46" s="37" t="s">
        <v>26</v>
      </c>
      <c r="D46" s="37" t="s">
        <v>28</v>
      </c>
      <c r="E46" s="58"/>
      <c r="F46" s="13"/>
      <c r="G46" s="86" t="s">
        <v>19</v>
      </c>
      <c r="H46" s="53"/>
    </row>
    <row r="47" spans="1:8" x14ac:dyDescent="0.2">
      <c r="A47" s="98" t="s">
        <v>33</v>
      </c>
      <c r="B47" s="99"/>
      <c r="C47" s="26">
        <v>0.3</v>
      </c>
      <c r="D47" s="28" t="s">
        <v>15</v>
      </c>
      <c r="E47" s="13"/>
      <c r="F47" s="13"/>
      <c r="G47" s="89" t="s">
        <v>28</v>
      </c>
    </row>
    <row r="48" spans="1:8" x14ac:dyDescent="0.2">
      <c r="A48" s="56"/>
      <c r="B48" s="5"/>
      <c r="C48" s="13"/>
      <c r="D48" s="13"/>
      <c r="E48" s="32"/>
      <c r="F48" s="13"/>
      <c r="G48" s="29"/>
      <c r="H48" s="94"/>
    </row>
    <row r="49" spans="1:7" x14ac:dyDescent="0.2">
      <c r="A49" s="30" t="s">
        <v>34</v>
      </c>
      <c r="B49" s="5"/>
      <c r="C49" s="43">
        <f>+ROUND(C7*B33*C47,2)</f>
        <v>6191.28</v>
      </c>
      <c r="D49" s="100">
        <f>+[1]Houston!D49</f>
        <v>1</v>
      </c>
      <c r="E49" s="37" t="s">
        <v>23</v>
      </c>
      <c r="F49" s="37">
        <f>F40</f>
        <v>12</v>
      </c>
      <c r="G49" s="46">
        <f>(C49*D49)/12*F49</f>
        <v>6191.2799999999988</v>
      </c>
    </row>
    <row r="50" spans="1:7" ht="13.5" thickBot="1" x14ac:dyDescent="0.25">
      <c r="A50" s="30"/>
      <c r="B50" s="5"/>
      <c r="C50" s="32"/>
      <c r="D50" s="57"/>
      <c r="E50" s="58"/>
      <c r="F50" s="37"/>
      <c r="G50" s="64"/>
    </row>
    <row r="51" spans="1:7" ht="13.5" thickBot="1" x14ac:dyDescent="0.25">
      <c r="A51" s="101"/>
      <c r="B51" s="66"/>
      <c r="C51" s="102"/>
      <c r="D51" s="103"/>
      <c r="E51" s="68" t="s">
        <v>27</v>
      </c>
      <c r="F51" s="69"/>
      <c r="G51" s="104">
        <f>+G40+G49</f>
        <v>11103.028800000007</v>
      </c>
    </row>
    <row r="52" spans="1:7" x14ac:dyDescent="0.2">
      <c r="A52" s="3"/>
      <c r="B52" s="3"/>
      <c r="C52" s="4"/>
      <c r="D52" s="94"/>
      <c r="E52" s="105"/>
      <c r="F52" s="2"/>
      <c r="G52" s="106"/>
    </row>
    <row r="53" spans="1:7" x14ac:dyDescent="0.2">
      <c r="A53" s="13" t="s">
        <v>36</v>
      </c>
    </row>
    <row r="54" spans="1:7" x14ac:dyDescent="0.2">
      <c r="A54" s="5" t="s">
        <v>37</v>
      </c>
    </row>
    <row r="55" spans="1:7" x14ac:dyDescent="0.2">
      <c r="A55" s="13" t="s">
        <v>38</v>
      </c>
    </row>
    <row r="56" spans="1:7" x14ac:dyDescent="0.2">
      <c r="A56" s="13" t="s">
        <v>39</v>
      </c>
    </row>
  </sheetData>
  <mergeCells count="2">
    <mergeCell ref="E30:F30"/>
    <mergeCell ref="E51:F51"/>
  </mergeCells>
  <pageMargins left="0.71" right="0.25" top="1" bottom="1" header="0.5" footer="0.5"/>
  <pageSetup scale="81" orientation="portrait" r:id="rId1"/>
  <headerFooter alignWithMargins="0">
    <oddHeader xml:space="preserve">&amp;C </oddHeader>
    <oddFooter>&amp;C &amp;R&amp;A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Denver</vt:lpstr>
      <vt:lpstr>Denver!Print_Area</vt:lpstr>
    </vt:vector>
  </TitlesOfParts>
  <Company>Duncan Aviation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Schroeder</dc:creator>
  <cp:lastModifiedBy>Amanda Schroeder</cp:lastModifiedBy>
  <dcterms:created xsi:type="dcterms:W3CDTF">2026-01-19T02:18:03Z</dcterms:created>
  <dcterms:modified xsi:type="dcterms:W3CDTF">2026-01-19T02:18:06Z</dcterms:modified>
</cp:coreProperties>
</file>